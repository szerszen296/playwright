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tfbank-my.sharepoint.com/personal/jakub_pentos_tfbank_pl/Documents/Desktop/repo/playwright/"/>
    </mc:Choice>
  </mc:AlternateContent>
  <xr:revisionPtr revIDLastSave="3" documentId="11_1D78843F6AC00B8DA168A6A70BFE42043FD84984" xr6:coauthVersionLast="47" xr6:coauthVersionMax="47" xr10:uidLastSave="{77CEFD78-323D-46AD-9032-6745B4078C7C}"/>
  <bookViews>
    <workbookView xWindow="-120" yWindow="-120" windowWidth="51840" windowHeight="21120" xr2:uid="{00000000-000D-0000-FFFF-FFFF00000000}"/>
  </bookViews>
  <sheets>
    <sheet name="Sheet1" sheetId="1" r:id="rId1"/>
  </sheets>
  <definedNames>
    <definedName name="_xlnm._FilterDatabase" localSheetId="0" hidden="1">Sheet1!$A$1:$AE$49</definedName>
    <definedName name="Z_63CA747D_4D14_4EF9_8CA6_F9BD651ECE3F_.wvu.FilterData" localSheetId="0" hidden="1">Sheet1!$A$1:$AE$49</definedName>
  </definedNames>
  <calcPr calcId="191029"/>
  <customWorkbookViews>
    <customWorkbookView name="4k60+" guid="{63CA747D-4D14-4EF9-8CA6-F9BD651ECE3F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8" i="1" l="1"/>
  <c r="T48" i="1"/>
  <c r="P48" i="1"/>
  <c r="O48" i="1"/>
  <c r="L48" i="1"/>
  <c r="K48" i="1"/>
  <c r="I48" i="1"/>
  <c r="H48" i="1"/>
  <c r="P47" i="1"/>
  <c r="O47" i="1"/>
  <c r="L47" i="1"/>
  <c r="K47" i="1"/>
  <c r="I47" i="1"/>
  <c r="H47" i="1"/>
  <c r="E47" i="1"/>
  <c r="P46" i="1"/>
  <c r="O46" i="1"/>
  <c r="L46" i="1"/>
  <c r="K46" i="1"/>
  <c r="I46" i="1"/>
  <c r="H46" i="1"/>
  <c r="E46" i="1"/>
  <c r="P45" i="1"/>
  <c r="O45" i="1"/>
  <c r="L45" i="1"/>
  <c r="K45" i="1"/>
  <c r="I45" i="1"/>
  <c r="H45" i="1"/>
  <c r="E45" i="1"/>
  <c r="P44" i="1"/>
  <c r="O44" i="1"/>
  <c r="L44" i="1"/>
  <c r="K44" i="1"/>
  <c r="I44" i="1"/>
  <c r="H44" i="1"/>
  <c r="E44" i="1"/>
  <c r="P43" i="1"/>
  <c r="O43" i="1"/>
  <c r="L43" i="1"/>
  <c r="K43" i="1"/>
  <c r="I43" i="1"/>
  <c r="H43" i="1"/>
  <c r="P42" i="1"/>
  <c r="O42" i="1"/>
  <c r="L42" i="1"/>
  <c r="K42" i="1"/>
  <c r="I42" i="1"/>
  <c r="H42" i="1"/>
  <c r="E42" i="1"/>
  <c r="P41" i="1"/>
  <c r="O41" i="1"/>
  <c r="L41" i="1"/>
  <c r="K41" i="1"/>
  <c r="I41" i="1"/>
  <c r="H41" i="1"/>
  <c r="E41" i="1"/>
  <c r="P40" i="1"/>
  <c r="O40" i="1"/>
  <c r="L40" i="1"/>
  <c r="K40" i="1"/>
  <c r="I40" i="1"/>
  <c r="H40" i="1"/>
  <c r="E40" i="1"/>
  <c r="P39" i="1"/>
  <c r="O39" i="1"/>
  <c r="L39" i="1"/>
  <c r="K39" i="1"/>
  <c r="I39" i="1"/>
  <c r="H39" i="1"/>
  <c r="P38" i="1"/>
  <c r="O38" i="1"/>
  <c r="L38" i="1"/>
  <c r="K38" i="1"/>
  <c r="I38" i="1"/>
  <c r="H38" i="1"/>
  <c r="E38" i="1"/>
  <c r="P37" i="1"/>
  <c r="O37" i="1"/>
  <c r="L37" i="1"/>
  <c r="K37" i="1"/>
  <c r="I37" i="1"/>
  <c r="H37" i="1"/>
  <c r="U36" i="1"/>
  <c r="T36" i="1"/>
  <c r="P36" i="1"/>
  <c r="O36" i="1"/>
  <c r="L36" i="1"/>
  <c r="K36" i="1"/>
  <c r="I36" i="1"/>
  <c r="H36" i="1"/>
  <c r="U35" i="1"/>
  <c r="T35" i="1"/>
  <c r="P35" i="1"/>
  <c r="O35" i="1"/>
  <c r="L35" i="1"/>
  <c r="K35" i="1"/>
  <c r="I35" i="1"/>
  <c r="H35" i="1"/>
  <c r="U34" i="1"/>
  <c r="T34" i="1"/>
  <c r="P34" i="1"/>
  <c r="O34" i="1"/>
  <c r="L34" i="1"/>
  <c r="K34" i="1"/>
  <c r="I34" i="1"/>
  <c r="H34" i="1"/>
  <c r="E34" i="1"/>
  <c r="U33" i="1"/>
  <c r="T33" i="1"/>
  <c r="P33" i="1"/>
  <c r="O33" i="1"/>
  <c r="L33" i="1"/>
  <c r="K33" i="1"/>
  <c r="I33" i="1"/>
  <c r="H33" i="1"/>
  <c r="E33" i="1"/>
  <c r="U32" i="1"/>
  <c r="T32" i="1"/>
  <c r="P32" i="1"/>
  <c r="O32" i="1"/>
  <c r="L32" i="1"/>
  <c r="K32" i="1"/>
  <c r="I32" i="1"/>
  <c r="H32" i="1"/>
  <c r="U31" i="1"/>
  <c r="T31" i="1"/>
  <c r="P31" i="1"/>
  <c r="O31" i="1"/>
  <c r="L31" i="1"/>
  <c r="K31" i="1"/>
  <c r="I31" i="1"/>
  <c r="H31" i="1"/>
  <c r="U30" i="1"/>
  <c r="T30" i="1"/>
  <c r="P30" i="1"/>
  <c r="O30" i="1"/>
  <c r="L30" i="1"/>
  <c r="K30" i="1"/>
  <c r="I30" i="1"/>
  <c r="H30" i="1"/>
  <c r="U29" i="1"/>
  <c r="T29" i="1"/>
  <c r="P29" i="1"/>
  <c r="O29" i="1"/>
  <c r="L29" i="1"/>
  <c r="K29" i="1"/>
  <c r="I29" i="1"/>
  <c r="H29" i="1"/>
  <c r="U28" i="1"/>
  <c r="T28" i="1"/>
  <c r="P28" i="1"/>
  <c r="O28" i="1"/>
  <c r="L28" i="1"/>
  <c r="K28" i="1"/>
  <c r="I28" i="1"/>
  <c r="H28" i="1"/>
  <c r="E28" i="1"/>
  <c r="U27" i="1"/>
  <c r="T27" i="1"/>
  <c r="P27" i="1"/>
  <c r="O27" i="1"/>
  <c r="L27" i="1"/>
  <c r="K27" i="1"/>
  <c r="I27" i="1"/>
  <c r="H27" i="1"/>
  <c r="U26" i="1"/>
  <c r="T26" i="1"/>
  <c r="P26" i="1"/>
  <c r="O26" i="1"/>
  <c r="L26" i="1"/>
  <c r="K26" i="1"/>
  <c r="I26" i="1"/>
  <c r="H26" i="1"/>
  <c r="E26" i="1"/>
  <c r="U25" i="1"/>
  <c r="T25" i="1"/>
  <c r="P25" i="1"/>
  <c r="O25" i="1"/>
  <c r="L25" i="1"/>
  <c r="K25" i="1"/>
  <c r="I25" i="1"/>
  <c r="H25" i="1"/>
  <c r="U24" i="1"/>
  <c r="T24" i="1"/>
  <c r="P24" i="1"/>
  <c r="O24" i="1"/>
  <c r="L24" i="1"/>
  <c r="K24" i="1"/>
  <c r="I24" i="1"/>
  <c r="H24" i="1"/>
  <c r="E24" i="1"/>
  <c r="U23" i="1"/>
  <c r="T23" i="1"/>
  <c r="P23" i="1"/>
  <c r="O23" i="1"/>
  <c r="L23" i="1"/>
  <c r="K23" i="1"/>
  <c r="I23" i="1"/>
  <c r="H23" i="1"/>
  <c r="U22" i="1"/>
  <c r="T22" i="1"/>
  <c r="P22" i="1"/>
  <c r="O22" i="1"/>
  <c r="L22" i="1"/>
  <c r="K22" i="1"/>
  <c r="I22" i="1"/>
  <c r="H22" i="1"/>
  <c r="U21" i="1"/>
  <c r="T21" i="1"/>
  <c r="P21" i="1"/>
  <c r="O21" i="1"/>
  <c r="L21" i="1"/>
  <c r="K21" i="1"/>
  <c r="I21" i="1"/>
  <c r="H21" i="1"/>
  <c r="U20" i="1"/>
  <c r="T20" i="1"/>
  <c r="P20" i="1"/>
  <c r="O20" i="1"/>
  <c r="L20" i="1"/>
  <c r="K20" i="1"/>
  <c r="I20" i="1"/>
  <c r="H20" i="1"/>
  <c r="U19" i="1"/>
  <c r="T19" i="1"/>
  <c r="P19" i="1"/>
  <c r="O19" i="1"/>
  <c r="L19" i="1"/>
  <c r="K19" i="1"/>
  <c r="I19" i="1"/>
  <c r="H19" i="1"/>
  <c r="U18" i="1"/>
  <c r="T18" i="1"/>
  <c r="P18" i="1"/>
  <c r="O18" i="1"/>
  <c r="L18" i="1"/>
  <c r="K18" i="1"/>
  <c r="I18" i="1"/>
  <c r="H18" i="1"/>
  <c r="E18" i="1"/>
  <c r="U17" i="1"/>
  <c r="T17" i="1"/>
  <c r="P17" i="1"/>
  <c r="O17" i="1"/>
  <c r="L17" i="1"/>
  <c r="K17" i="1"/>
  <c r="I17" i="1"/>
  <c r="H17" i="1"/>
  <c r="U16" i="1"/>
  <c r="T16" i="1"/>
  <c r="P16" i="1"/>
  <c r="O16" i="1"/>
  <c r="L16" i="1"/>
  <c r="K16" i="1"/>
  <c r="I16" i="1"/>
  <c r="H16" i="1"/>
  <c r="E16" i="1"/>
  <c r="U15" i="1"/>
  <c r="T15" i="1"/>
  <c r="P15" i="1"/>
  <c r="O15" i="1"/>
  <c r="L15" i="1"/>
  <c r="K15" i="1"/>
  <c r="I15" i="1"/>
  <c r="H15" i="1"/>
  <c r="E15" i="1"/>
  <c r="U14" i="1"/>
  <c r="T14" i="1"/>
  <c r="P14" i="1"/>
  <c r="O14" i="1"/>
  <c r="L14" i="1"/>
  <c r="K14" i="1"/>
  <c r="I14" i="1"/>
  <c r="H14" i="1"/>
  <c r="E14" i="1"/>
  <c r="U13" i="1"/>
  <c r="T13" i="1"/>
  <c r="P13" i="1"/>
  <c r="O13" i="1"/>
  <c r="L13" i="1"/>
  <c r="K13" i="1"/>
  <c r="I13" i="1"/>
  <c r="H13" i="1"/>
  <c r="U12" i="1"/>
  <c r="T12" i="1"/>
  <c r="P12" i="1"/>
  <c r="O12" i="1"/>
  <c r="L12" i="1"/>
  <c r="K12" i="1"/>
  <c r="I12" i="1"/>
  <c r="H12" i="1"/>
  <c r="E12" i="1"/>
  <c r="U11" i="1"/>
  <c r="T11" i="1"/>
  <c r="P11" i="1"/>
  <c r="O11" i="1"/>
  <c r="L11" i="1"/>
  <c r="K11" i="1"/>
  <c r="I11" i="1"/>
  <c r="H11" i="1"/>
  <c r="U10" i="1"/>
  <c r="T10" i="1"/>
  <c r="P10" i="1"/>
  <c r="O10" i="1"/>
  <c r="L10" i="1"/>
  <c r="K10" i="1"/>
  <c r="I10" i="1"/>
  <c r="H10" i="1"/>
  <c r="U9" i="1"/>
  <c r="T9" i="1"/>
  <c r="P9" i="1"/>
  <c r="O9" i="1"/>
  <c r="L9" i="1"/>
  <c r="K9" i="1"/>
  <c r="I9" i="1"/>
  <c r="H9" i="1"/>
  <c r="U8" i="1"/>
  <c r="T8" i="1"/>
  <c r="P8" i="1"/>
  <c r="O8" i="1"/>
  <c r="L8" i="1"/>
  <c r="K8" i="1"/>
  <c r="I8" i="1"/>
  <c r="H8" i="1"/>
  <c r="E8" i="1"/>
  <c r="U7" i="1"/>
  <c r="T7" i="1"/>
  <c r="P7" i="1"/>
  <c r="O7" i="1"/>
  <c r="L7" i="1"/>
  <c r="K7" i="1"/>
  <c r="I7" i="1"/>
  <c r="H7" i="1"/>
  <c r="E7" i="1"/>
  <c r="U6" i="1"/>
  <c r="T6" i="1"/>
  <c r="P6" i="1"/>
  <c r="O6" i="1"/>
  <c r="L6" i="1"/>
  <c r="K6" i="1"/>
  <c r="I6" i="1"/>
  <c r="H6" i="1"/>
  <c r="E6" i="1"/>
  <c r="U5" i="1"/>
  <c r="T5" i="1"/>
  <c r="P5" i="1"/>
  <c r="O5" i="1"/>
  <c r="L5" i="1"/>
  <c r="K5" i="1"/>
  <c r="I5" i="1"/>
  <c r="H5" i="1"/>
  <c r="E5" i="1"/>
  <c r="U4" i="1"/>
  <c r="T4" i="1"/>
  <c r="P4" i="1"/>
  <c r="O4" i="1"/>
  <c r="L4" i="1"/>
  <c r="K4" i="1"/>
  <c r="I4" i="1"/>
  <c r="H4" i="1"/>
  <c r="E4" i="1"/>
  <c r="U3" i="1"/>
  <c r="T3" i="1"/>
  <c r="P3" i="1"/>
  <c r="O3" i="1"/>
  <c r="L3" i="1"/>
  <c r="K3" i="1"/>
  <c r="I3" i="1"/>
  <c r="H3" i="1"/>
  <c r="E3" i="1"/>
  <c r="U2" i="1"/>
  <c r="T2" i="1"/>
  <c r="P2" i="1"/>
  <c r="O2" i="1"/>
  <c r="L2" i="1"/>
  <c r="K2" i="1"/>
  <c r="I2" i="1"/>
  <c r="H2" i="1"/>
</calcChain>
</file>

<file path=xl/sharedStrings.xml><?xml version="1.0" encoding="utf-8"?>
<sst xmlns="http://schemas.openxmlformats.org/spreadsheetml/2006/main" count="314" uniqueCount="163">
  <si>
    <t>GPU</t>
  </si>
  <si>
    <t>Price (USD)</t>
  </si>
  <si>
    <t>ebay # of sold @ target price (within a few $)</t>
  </si>
  <si>
    <t># of total used/refurb sold</t>
  </si>
  <si>
    <t>W+ ratio</t>
  </si>
  <si>
    <t>1080p -&gt;</t>
  </si>
  <si>
    <t>perf @ 1080p high</t>
  </si>
  <si>
    <t>$/Frame @ 1080p High</t>
  </si>
  <si>
    <t>Watts/Frame @ 1080p High</t>
  </si>
  <si>
    <t>perf @ 1080p Med</t>
  </si>
  <si>
    <t>$/Frame @ 1080p Med</t>
  </si>
  <si>
    <t>Watts/Frame @ 1080p Med</t>
  </si>
  <si>
    <t>1440p -&gt;</t>
  </si>
  <si>
    <t xml:space="preserve">perf @ 1440p High </t>
  </si>
  <si>
    <t>$/Frame @ 1440p High</t>
  </si>
  <si>
    <t>Watts/Frame @ 1440p High</t>
  </si>
  <si>
    <t>1440p quality value</t>
  </si>
  <si>
    <t>4k -&gt;</t>
  </si>
  <si>
    <t>perf @ 4k High</t>
  </si>
  <si>
    <t>$/Frame @ 4k High</t>
  </si>
  <si>
    <t>Watts/Frame @ 4k High</t>
  </si>
  <si>
    <t>4k quality value</t>
  </si>
  <si>
    <t>Specs -&gt;</t>
  </si>
  <si>
    <t>Ref TDP (W)</t>
  </si>
  <si>
    <t>VRAM (GB)</t>
  </si>
  <si>
    <t>VRAM Type</t>
  </si>
  <si>
    <t>Extra Features (that interest me lol)</t>
  </si>
  <si>
    <t>Misc -&gt;</t>
  </si>
  <si>
    <t>Time Stamp</t>
  </si>
  <si>
    <t>Notes</t>
  </si>
  <si>
    <t>Link</t>
  </si>
  <si>
    <t>gtx titan xp</t>
  </si>
  <si>
    <t>GDDR5X</t>
  </si>
  <si>
    <t>4.26.23</t>
  </si>
  <si>
    <t xml:space="preserve">Estimated perf stats only, it's not on the current Tom's list. </t>
  </si>
  <si>
    <t>https://www.ebay.com/itm/304890489044?epid=28029958286&amp;hash=item46fce3a8d4:g:lU4AAOSwxtFkJkyw&amp;amdata=enc%3AAQAIAAAA4PH%2B2e%2F2xaZbIlHcynOoGltJvcW%2FfxaivAxigdSDkEK3ugkVeURC07MtYOM5ErO0KA4VYEd%2BBAuZM4%2FqVhkMZYxBTRgib0QoTnqda5nzuhtlpYl%2FDsiMUCBhBhcq9b%2BYc8t40FZzdO%2BNYm7Dhu2p4YmEUUq0Yf2jbrubhYdYdOuPjhO1Egb%2FIBhruGRGoMsyFppjIoFGpa1qhmOSPKe1wnIWV%2ByVz%2FEg0N7zCC741Owkg8cEb0u7OZpnWpPpBph5gsTL4jyAeURDfkgAWxWrJekNjJHND4PjnZCmjDVpuQXF%7Ctkp%3ABFBMjp-t8_dh</t>
  </si>
  <si>
    <t>rx 5700 xt</t>
  </si>
  <si>
    <t>GDDR6</t>
  </si>
  <si>
    <t>SAM</t>
  </si>
  <si>
    <t>5.4.23</t>
  </si>
  <si>
    <t>https://www.ebay.com/sch/i.html?_from=R40&amp;_nkw=rx+5700+xt&amp;_sacat=0&amp;rt=nc&amp;LH_Sold=1&amp;LH_Complete=1</t>
  </si>
  <si>
    <t>rtx 2080 super</t>
  </si>
  <si>
    <t>RT</t>
  </si>
  <si>
    <t>4.21.23</t>
  </si>
  <si>
    <t>https://www.ebay.com/itm/385550149516?epid=28036085193&amp;hash=item59c494678c:g:8OUAAOSwyqBkOzYa&amp;amdata=enc%3AAQAIAAAAwGOIfLK9v5uxDYnIcy2MQGJfJ6kIUqfcPW4UynIZqXNwuMEm%2BNe6DaE29InbhHZ5mwzqT1TN5r2LaSqloJTD%2F2SW5mRmAwfQ9UiynqcaB5q2GjL7iuVQMg5PWoq2YhjJquWQsjeblzfkrecbebTC7n61HC6LBGn7ZMNzPxCni0Z8I9Godm8gJ99CAk%2BJpcP6PQXQ0P1Ijpt65q%2FEgD2dYgk3bd7YOHEiF4zREYV%2F4%2BYTAYPWz%2FaZxPkYK1UgFNf5yA%3D%3D%7Ctkp%3ABk9SR7aGjNv0YQ</t>
  </si>
  <si>
    <t>rtx 3080 12gb</t>
  </si>
  <si>
    <t>GDDR6X</t>
  </si>
  <si>
    <t>8.12.23</t>
  </si>
  <si>
    <t>https://www.ebay.com/itm/266368783104?hash=item3e04d11300%3Ag%3Amk4AAOSwQ2VkzWZR&amp;amdata=enc%3AAQAIAAAAwO2bK14t9lg%2BhJmCnoPjY0aQavVihZJt%2FbFlUDk6sEnpqvYGoir%2FgWWDDKx0%2F%2FoCU4dFspyEFGzaHJb5SorBhj2Yj4N%2FAedpIbIvb7XxHuS466lRlThyhjRnV72MsG7qGiMw1mgsTdjfm8f2XLIf0OFkby81ohGeSManaZjv%2BSgDSlZI2BWJrHfG%2BE5a%2B3Gm0qzSUE867I1%2BhOTEjmPuhUUUdUP4VyBuD9pIBk%2FM2V8sIjik5RCbq6a2c3eSjDXxHw%3D%3D%7Ctkp%3ABk9SR_j5qay9Yg&amp;LH_BIN=1&amp;LH_ItemCondition=3000</t>
  </si>
  <si>
    <t>rtx 3080 10gb</t>
  </si>
  <si>
    <t>RT, HDMI 2.1, SAM, VSR</t>
  </si>
  <si>
    <t>6.20.23</t>
  </si>
  <si>
    <t>https://www.ebay.com/itm/256116474437</t>
  </si>
  <si>
    <t>rx 6700 xt</t>
  </si>
  <si>
    <t>RT, HDMI 2.1, SAM</t>
  </si>
  <si>
    <t>4.27.23</t>
  </si>
  <si>
    <t>https://www.ebay.com/itm/195732870536?hash=item2d92969588:g:sMYAAOSwWOlkSi5D&amp;amdata=enc%3AAQAIAAAA4LvSMGjaByWrV36Kor8yAGiOpoNIaKeP0SoYgi5O2ta00QxVl218GL6Qw0OmRnWAWWFdWuRqAuMBjjSreSzILeVSBn4Pvxp%2BYSV2U2o504lsRtC2oDoKBgUZRUhl1hjkwv5jkypJTWRdDpbPzGPcCQdqDd%2B10%2Fj1Cv1Z4D9SX6HxWMkdryO0G9l6NvRXEKsP7U0Veb7YA4HcrsMZh8ZevIOO6yLSMWtc%2BjLnd7K8xJ8jg%2FLgter2X%2BlQqNmrRzH0CTAxP2PBE5ZHH63c0GNtILTC9%2FHQLxAES08GP2NJ0XLt%7Ctkp%3ABk9SR5q_p7_4YQ</t>
  </si>
  <si>
    <t>rx 6800</t>
  </si>
  <si>
    <t>4.20.23</t>
  </si>
  <si>
    <t>https://www.ebay.com/itm/275789411327?epid=9045834094&amp;hash=item40365473ff:g:Th4AAOSwdYFkNttI&amp;amdata=enc%3AAQAIAAAAwFCngVmHO6S%2BlIVeoxHsNgl2UWN4awU4YDcgIF0U26NigR0WgCiO9n7o44yPleuiC%2B%2Fb6O4On7p7UT3ktrZwHLQiq5ZKNMCYfS%2B3rQ7U9Ge0K02dCIrVo9LvRVFNvug5fz0beVnW7atC7qpJu0ZrLc25uCNZGtyJMlzb6HfzXN0jXvrZFSfSODbiglInjkyWKtbz6URnOWtRgc2c5pE8Bsxb0LwEatH3vGNrOIhKNTnBblh%2FUZLV5nNCH95FadtoTA%3D%3D%7Ctkp%3ABk9SR5Danob0YQ</t>
  </si>
  <si>
    <t>rtx 3080 12gb (used, amazon)</t>
  </si>
  <si>
    <t>n/a</t>
  </si>
  <si>
    <t>https://keepa.com/#!product/1-B09PZM76MG</t>
  </si>
  <si>
    <t>5.11.23</t>
  </si>
  <si>
    <r>
      <rPr>
        <u/>
        <sz val="11"/>
        <color rgb="FF1155CC"/>
        <rFont val="Arial"/>
      </rPr>
      <t>https://keepa.com/#!product/1-B09PZM76MG</t>
    </r>
    <r>
      <rPr>
        <sz val="11"/>
        <color rgb="FF000000"/>
        <rFont val="Arial"/>
      </rPr>
      <t xml:space="preserve">, </t>
    </r>
    <r>
      <rPr>
        <u/>
        <sz val="11"/>
        <color rgb="FF1155CC"/>
        <rFont val="Arial"/>
      </rPr>
      <t>https://keepa.com/#!product/1-B09QDWGNPG</t>
    </r>
  </si>
  <si>
    <t>A750 8gb (new, bestbuy)</t>
  </si>
  <si>
    <t>5.24.23</t>
  </si>
  <si>
    <t>https://www.bestbuy.com/site/intel-arc-a750-limited-edition-8gb-gddr6-pci-express-4-0-graphics-card/6543537.p?acampID=0&amp;cmp=RMX&amp;irclickid=SGoVL-XP1xyNWI3z-q0mKwKiUkASmu2aVRIQS80&amp;irgwc=1&amp;loc=PCPartPicker&amp;mpid=79301&amp;ref=198&amp;refdomain=pcpartpicker.com&amp;skuId=6543537</t>
  </si>
  <si>
    <t>rx 6800 (used, amazon)</t>
  </si>
  <si>
    <t>https://keepa.com/#!product/1-B08NXYBVDB</t>
  </si>
  <si>
    <t>rx 6800 xt</t>
  </si>
  <si>
    <t>https://www.ebay.com/itm/204318330231?epid=27042941808&amp;hash=item2f92524d77:g:Co0AAOSwbOJkSbVe&amp;amdata=enc%3AAQAIAAAA4CqT5zMIKHAv1qrAUKRcMq858bJYuSaqFEYdxsRDMdAZ5iqp8DNrbisiybynq6UtmZ6hb3RhveFFYY7C6x2CO%2B0mswgBrprYXYDXPFtYV5fdtL3PBbZf4dfZewE5IkoMYBwhjafF637Qd%2B62HWuGL318%2FoQOP6CI4GgOoY2P7S1%2B4YULCO%2BY0ovGU0rkckVj841lxhLTJNC6%2F0X3qemzBrcJHYLN5%2FF4sv1xEyEld62B7Uyfatsa1qPMb%2F7UhKVbLBp6LaYPEp8NC0ZBDGHVpUPn9zrOSFKlQ9taj4KLTRWw%7Ctkp%3ABk9SR_KM2cD4YQ</t>
  </si>
  <si>
    <t>rx 6800 xt (used, amazon)</t>
  </si>
  <si>
    <t>https://keepa.com/#!product/1-B08V1WK4LB</t>
  </si>
  <si>
    <t>rtx 3070</t>
  </si>
  <si>
    <t>https://www.ebay.com/itm/385558743739?hash=item59c5178abb:g:38oAAOSwnChkQFQc&amp;amdata=enc%3AAQAIAAAAwM5L9oPjA%2FjWEo6ihTWz0aZi05P8h85DNBt%2FinOz%2BpeCsLbprdG6kjUfqsTmnCxGMHbGdPNmd%2FGwOzx8Z375rAR3VjRXiPPfaOMejc55u0QIejSWRlP7xpwE%2B3Xr%2BMCd8A6T8VHgUNQEkJuZtNVu5eCN%2Fp2uIoZvgP5v7ZVstC4eMwLR9hNDau8jsgbcQXisw2VOVN%2FSY1Crn7Sza2ilpAqWLph1%2BXcXL97EJ3nyICKiWTQJfcyNoaNFk9Mm7FQC%2Fw%3D%3D%7Ctkp%3ABk9SR9DI7YX0YQ</t>
  </si>
  <si>
    <t>rtx 3080 ti</t>
  </si>
  <si>
    <t>5.3.23</t>
  </si>
  <si>
    <t>https://www.ebay.com/itm/266244636690</t>
  </si>
  <si>
    <t>rx 6900 xt</t>
  </si>
  <si>
    <t>https://www.ebay.com/itm/314519668104?hash=item493ad54588:g:~X0AAOSwdQlkFz1f&amp;amdata=enc%3AAQAIAAAAwCsZKAfXVsizFl9%2BnGp0qY%2BR24aaVFV3PiwGTI3Eb%2Frwhuu3l5z0VFxl0M4VERJIKPMUS9FYXRp4gh16Ld9hiqeSHqE8whv36piLorc0cIXP%2B8niy%2FST%2BpF5vKJyaOAHnZtF3wbI4n2OXZrJfotqveeVQGNddjAX7EsEeGiw4ZjjDPyZuV5cUKHyCILNnRJM70JUT76nV974pWLBfiQpUm6WVf6ePXU4czMgHHAwp1ddKs6UMVSv43N63Jx131RnrQ%3D%3D%7Ctkp%3ABk9SR5CJuYb0YQ</t>
  </si>
  <si>
    <t>rx 6700 10gb</t>
  </si>
  <si>
    <t>https://www.ebay.com/itm/125887101600?epid=8059607000&amp;hash=item1d4f74baa0%3Ag%3AkcMAAOSwcQNkI2qD&amp;amdata=enc%3AAQAIAAAA4NPyH4GFPNw7XbslaL0lMofPZm0RoQ6E3ojSKXRVQjNFGz628imckKdUBi%2Bxdm1z3KFxMvGyCyck6wLOsD%2F5cPyo%2F01mFrhJXvIkpmjxiMOxoVU%2BY1%2BMqq4ALxUgNMo9FFg6iJ%2FV2bfOjCWuVdgeWqAiDPFxfbpan73IGtrdyaLuOkhB%2B0Z4yRAjpgbWGE8gAFxzru8WRLxRm48CKkUNTNRINJKVc5dKET8O65mvMR%2B97TIV%2B8NXn2ZmdhOipWdWQxTYE3lqfJQhPHGI9nxDIpHFIiRPraACizm3xkRnArH4%7Ctkp%3ABk9SR4SEg8D4YQ&amp;LH_ItemCondition=2500%7C3000%7C1500</t>
  </si>
  <si>
    <t>rx 6750 xt</t>
  </si>
  <si>
    <t>https://www.ebay.com/sch/i.html?_from=R40&amp;_trksid=p2334524.m570.l1313&amp;_nkw=rx+6750+xt&amp;_sacat=0&amp;LH_TitleDesc=0&amp;rt=nc&amp;_odkw=rx+6700+xt&amp;_osacat=0&amp;_sop=13&amp;LH_PrefLoc=2&amp;LH_Complete=1&amp;_udhi=315&amp;LH_Sold=1</t>
  </si>
  <si>
    <t>rx 6950 xt (used)</t>
  </si>
  <si>
    <t>1.7.24</t>
  </si>
  <si>
    <r>
      <rPr>
        <u/>
        <sz val="11"/>
        <color rgb="FF1155CC"/>
        <rFont val="Arial"/>
      </rPr>
      <t>https://keepa.com/#!product/1-B09YHXFD19</t>
    </r>
    <r>
      <rPr>
        <u/>
        <sz val="11"/>
        <color rgb="FF000000"/>
        <rFont val="Arial"/>
      </rPr>
      <t xml:space="preserve">, </t>
    </r>
    <r>
      <rPr>
        <u/>
        <sz val="11"/>
        <color rgb="FF1155CC"/>
        <rFont val="Arial"/>
      </rPr>
      <t>https://keepa.com/#!product/1-B09VYDTVGY</t>
    </r>
    <r>
      <rPr>
        <u/>
        <sz val="11"/>
        <color rgb="FF1155CC"/>
        <rFont val="Arial"/>
      </rPr>
      <t xml:space="preserve">, </t>
    </r>
    <r>
      <rPr>
        <u/>
        <sz val="11"/>
        <color rgb="FF1155CC"/>
        <rFont val="Arial"/>
      </rPr>
      <t>https://www.newegg.com/xfx-radeon-rx-6950-xt-rx-695xatbd9/p/27N-0002-00172T?Item=27N-0002-00172T</t>
    </r>
  </si>
  <si>
    <t>rx 6950 xt (new, amazon)</t>
  </si>
  <si>
    <t>8.25.23</t>
  </si>
  <si>
    <t xml:space="preserve">Sale comes and goes. </t>
  </si>
  <si>
    <t>https://www.reddit.com/r/buildapcsales/comments/160m94o/gpu_xfx_speedster_merc319_rx_6950xt_black_52999/</t>
  </si>
  <si>
    <t>rx 7900 gre (used)</t>
  </si>
  <si>
    <t>2.26.24</t>
  </si>
  <si>
    <t>rx 7900 xt</t>
  </si>
  <si>
    <t>12.29.24</t>
  </si>
  <si>
    <t>https://www.amazon.com/XFX-Speedster-MERC310-Graphics-RX-79TMERCW9/dp/B0DNR86QPQ/ref=sr_1_6?crid=2XCHAAZKIATPC&amp;dib=eyJ2IjoiMSJ9._sBMn59iaUCuTG8BDI3C-W_gfjbtw-2MrXDckz1E8WasXYdQwi9op8QdCo_ud_yPuitccTJ2_qf4tCDkhSs0s8fNFqy02T1wbFihkvDVY21p009CSzcfgbrQaBRMpFouqawZwEQC9nw0pE8k5psbwLIqdRgVH3_ASHL7NrKLFWVyYWCmyKH9cgjlzPyBRZwKANeiAUzSjlGJHxjKRgAIcduVAR7ICWaLMlskSO1Dbg4lxb-pZ92D1jkCtYMC5ouDmAJ7J9cglAkL5UUbcHqMGuc2IGMzeR1yuLES9r24CwJV9zYmToE-UofqomNAFhsWGgIjIzBiIEyUcmb0InngMR7WQPtZYlN2JkWws6lBjy0.WBzLqI73XixDcBQEPis094n1FS_DgtC-CGoIxxdHQh0&amp;dib_tag=se&amp;keywords=rx+6950+xt&amp;qid=1736218010&amp;s=electronics&amp;sprefix=rx+6950+xt%2Celectronics%2C177&amp;sr=1-6</t>
  </si>
  <si>
    <t>rx 7900 xtx (used, amazon)</t>
  </si>
  <si>
    <t>8.22.23</t>
  </si>
  <si>
    <r>
      <rPr>
        <u/>
        <sz val="11"/>
        <color rgb="FF1155CC"/>
        <rFont val="Arial"/>
      </rPr>
      <t>https://keepa.com/#!product/1-B0BSN878GR, https://keepa.com/#!product/1-B0BMWG9N16</t>
    </r>
    <r>
      <rPr>
        <sz val="11"/>
        <rFont val="Arial"/>
      </rPr>
      <t xml:space="preserve">, </t>
    </r>
    <r>
      <rPr>
        <u/>
        <sz val="11"/>
        <color rgb="FF1155CC"/>
        <rFont val="Arial"/>
      </rPr>
      <t>https://keepa.com/#!product/1-B0BMWGMX5B</t>
    </r>
    <r>
      <rPr>
        <sz val="11"/>
        <rFont val="Arial"/>
      </rPr>
      <t xml:space="preserve">, </t>
    </r>
  </si>
  <si>
    <t>rx 6950 xt</t>
  </si>
  <si>
    <t>5.9.23</t>
  </si>
  <si>
    <t>https://www.ebay.com/itm/374670829283?epid=3058462025&amp;hash=item573c1f26e3:g:f0gAAOSwIN5kTQU-&amp;amdata=enc%3AAQAIAAAAwO3TxnCDJy2SZUJ6qo8o4sjKE8eSJzwcas%2FUsQyCJZQQ9LCif1PXgwKiRxbsVG4x78FFoiw1yIcrMiPIh3SWWpAIsqpZL6%2BF8nVSs2vz433VeE6bKxyzX%2B2L5NgeDn7H1qZM4o8PGEV%2FSfTSIE44E%2FfqMQk8GTCn6PUQYkyB0VfBo9riFXO8%2FEUnaX%2B6NgxRPcIvh9H4z%2BprcLJvNrluAzKdeP5s63e5yZvuypQlwNQo3GZKTI7sQA0JPCsuwx3phg%3D%3D%7Ctkp%3ABk9SR_7f86yAYg</t>
  </si>
  <si>
    <t>rx 7900 xt (new, amazon)</t>
  </si>
  <si>
    <t>12.26.24</t>
  </si>
  <si>
    <t>https://www.amazon.com/gp/product/B0BMWHJ5Q7/ref=ewc_pr_img_1?smid=ATVPDKIKX0DER&amp;th=1</t>
  </si>
  <si>
    <t>rx 7900 xtx (new, amazon)</t>
  </si>
  <si>
    <t>https://www.ebay.com/itm/204320162096?epid=21058158013&amp;hash=item2f926e4130:g:LlEAAOSwCBJkTAEa&amp;amdata=enc%3AAQAIAAAAwFaZkp8vcrJZMFa0vCYgkv%2BU%2B0eii%2FiB3GpNXSP1zRkNpYwHJLnndxHNJmwxkxX2s%2BjjO3yl2GcW2Z32bqwvYK43MK707OBvwvvJ174iHcvQEMYWWpfKlPZOXqcYEQ42wLSvPb2EsBuodn65mWm4TM8Xk1kV3rsT9I4SUwRE9H%2FTkeZDSQU%2FO42cE7Sd0mA%2FFLlpdTu3Y4cbXk83Xc2s6UxeNSvbFZems2rfgUqgX3cCB%2FFefkqtmPf0iksMQ5kqZQ%3D%3D%7Ctkp%3ABk9SR8TTkaz8YQ</t>
  </si>
  <si>
    <t>https://www.reddit.com/r/buildapcsales/comments/1hoes7o/gpu_sapphire_pulse_radeon_7900_xt_20gb_gddr6_pcie/</t>
  </si>
  <si>
    <t>rtx 3070 ti</t>
  </si>
  <si>
    <t>https://www.ebay.com/itm/125888928292?epid=22047402156&amp;hash=item1d4f909a24:g:a9oAAOSw94xkPbiV&amp;amdata=enc%3AAQAIAAAA4E%2B0WQZcsoFFx8rtj6qgs5oZyGyRgESCTesOu7HIzAEmIBLEA8cuK%2FY7RjYvslOj0y%2FuGayWhISt1Ge0ZTbp8F1lb2k1jRWvi93ezA0Me8bWlcI7pZcoTDsDcp8eK9enDGizet%2FOAWO1dIg8j%2BifWgwEgiNhA5Cb03T7dHllHVMLlmLUJxKFcF93MbGmNp%2F7JvnOhfCcoSptoKwWRHrFgccmUzi5AjpzU1i9YFjZv%2FGMR103yhJ4J1yl7ATTNa5AYW5sE%2FeM%2FopR0C1v8Hf6s7UHK9huSAWIqq5PdwPlKe4m%7Ctkp%3ABk9SR4bpjfbyYQ</t>
  </si>
  <si>
    <t>rtx 4070 ti (used, amazon)</t>
  </si>
  <si>
    <r>
      <rPr>
        <u/>
        <sz val="11"/>
        <color rgb="FF1155CC"/>
        <rFont val="Arial"/>
      </rPr>
      <t>https://keepa.com/#!product/1-B0BNWBJ8Z6</t>
    </r>
    <r>
      <rPr>
        <sz val="11"/>
        <color rgb="FF000000"/>
        <rFont val="Arial"/>
      </rPr>
      <t xml:space="preserve">, </t>
    </r>
    <r>
      <rPr>
        <u/>
        <sz val="11"/>
        <color rgb="FF1155CC"/>
        <rFont val="Arial"/>
      </rPr>
      <t>https://keepa.com/#!product/1-B0BNWFM7MZ</t>
    </r>
    <r>
      <rPr>
        <sz val="11"/>
        <color rgb="FF000000"/>
        <rFont val="Arial"/>
      </rPr>
      <t xml:space="preserve">, </t>
    </r>
  </si>
  <si>
    <t>rx 6950 xt (new, newegg)</t>
  </si>
  <si>
    <t>https://www.reddit.com/r/buildapcsales/comments/12ibstj/gpu_asrock_phantom_gaming_radeon_rx_6950_xt_16gb/</t>
  </si>
  <si>
    <t>a770 16gb</t>
  </si>
  <si>
    <t>https://www.ebay.com/itm/175660351803?epid=22059285100&amp;hash=item28e62c413b%3Ag%3A1DUAAOSwWQVkGpQ6&amp;amdata=enc%3AAQAIAAAA4DiwHlTTfDd8s%2Fh8Ujpb%2BPhJfPWvC6tcRVyP81m4QmoSr%2B8hS2RwDUIQoirCZ701cgz0Q7PqfmkE%2FRRGHahXLXE7M%2FG3%2FmLSZnzkGUInOPV4ZwX9zE%2FqZu3tkwPw21ZNj5UuSBxJ81o7RpK4Ha4iu%2F%2FNnwW29ZC%2FtnZAQgjtNjVYnt5IAk5u3wDG7hziQDaO8tsKjTtogCkBEaLXgPqaMcCcRFtKQ%2BdzaqMwE77OWWPgHbo8e8%2BwSPGLRVrNV6H%2FfiqLmHGIinvqP2cYSQpIv8SAV3FgKg6ZA1pB1sIj1QxC%7Ctkp%3ABk9SR7KAjffyYQ&amp;LH_Auction=1</t>
  </si>
  <si>
    <t>rtx 3090 ti (used, amazon)</t>
  </si>
  <si>
    <t>https://keepa.com/#!product/1-B09WH4XGDM</t>
  </si>
  <si>
    <t>rtx 4080</t>
  </si>
  <si>
    <t>https://www.ebay.com/itm/115793437852?hash=item1af5d3a49c:g:lZYAAOSwBRJkUvae&amp;amdata=enc%3AAQAIAAAA4F0KxPB1kUkYhC2qqnMHYo3Psf8yNAL0DBHLkfy2uoLrnioAbwcdZmXwj212oTu3%2FdcKeW5HDTn%2FWEwo0CiQVEQcl0gdn1kHRtfgwmqaWw%2BSy8I9akd5w4SmBZPan2Ny5MMevF4VrwXKiTQvf%2FGbx2%2FikgekZrIadZsJHzNLWejwZkJg7sybr3tC2guiCQEm61ZwtmxVrQc65LA9ywVdFDqFZ4PcgwXsxru8hV9kT0oM3ynrXb4Hh5ED1AZu%2FYwC5ABPUqlS%2FQpXqTAwUGfVyFfqDDAsnB7O1fOL421NOn1z%7Ctkp%3ABk9SR57H0KqAYg</t>
  </si>
  <si>
    <t>rtx 3090 ti</t>
  </si>
  <si>
    <t>https://www.ebay.com/itm/204324463908?epid=7058466235&amp;hash=item2f92afe524%3Ag%3A4zoAAOSwuGlkUXX4&amp;amdata=enc%3AAQAIAAAAwLV7yh749Ig5sqF0as5iVdQnBBnzH2fr%2Fb3NXHZe%2FuhuTi4996oz6YNIzvMlqruS%2FzMc6l5kAMs%2B2enGj%2BxgLR0ezNZRo%2B4cQVCX%2FGRGrPc4UkY99B%2FNM3rZvOsFtNVQ4dm29xy%2B%2BuZ5Nb3bzdz8Lpon04FrP1iARypbz4OvAEgZS2zpSBEXYr7u1bo%2By7DAUO%2FSA2gf22j8q8zMqBob%2Blk0jllKyPA3pOTY8QO9vd5qC5xGodlHN99JgJYPrj6djQ%3D%3D%7Ctkp%3ABk9SR765yaqAYg&amp;LH_ItemCondition=4</t>
  </si>
  <si>
    <t>rtx 4080 (used, amazon)</t>
  </si>
  <si>
    <r>
      <rPr>
        <u/>
        <sz val="11"/>
        <color rgb="FF1155CC"/>
        <rFont val="Arial"/>
      </rPr>
      <t>https://keepa.com/#!product/1-B0BKK3RFT6</t>
    </r>
    <r>
      <rPr>
        <sz val="11"/>
        <color rgb="FF000000"/>
        <rFont val="Arial"/>
      </rPr>
      <t xml:space="preserve">, </t>
    </r>
    <r>
      <rPr>
        <u/>
        <sz val="11"/>
        <color rgb="FF1155CC"/>
        <rFont val="Arial"/>
      </rPr>
      <t>https://keepa.com/#!product/1-B0BKK371SB</t>
    </r>
    <r>
      <rPr>
        <sz val="11"/>
        <color rgb="FF000000"/>
        <rFont val="Arial"/>
      </rPr>
      <t xml:space="preserve">, </t>
    </r>
  </si>
  <si>
    <t>rtx 4090 (used, amazon)</t>
  </si>
  <si>
    <r>
      <rPr>
        <u/>
        <sz val="11"/>
        <color rgb="FF1155CC"/>
        <rFont val="Arial"/>
      </rPr>
      <t>https://keepa.com/#!product/1-B0BGP8FGNZ</t>
    </r>
    <r>
      <rPr>
        <u/>
        <sz val="11"/>
        <color rgb="FF000000"/>
        <rFont val="Arial"/>
      </rPr>
      <t xml:space="preserve">, </t>
    </r>
    <r>
      <rPr>
        <u/>
        <sz val="11"/>
        <color rgb="FF1155CC"/>
        <rFont val="Arial"/>
      </rPr>
      <t>https://keepa.com/#!product/1-B0BG959RCF</t>
    </r>
    <r>
      <rPr>
        <u/>
        <sz val="11"/>
        <color rgb="FF000000"/>
        <rFont val="Arial"/>
      </rPr>
      <t xml:space="preserve">, </t>
    </r>
  </si>
  <si>
    <t>gtx 1660 Ti</t>
  </si>
  <si>
    <t>https://www.ebay.com/itm/166044108187?epid=19037184004&amp;hash=item26a900059b%3Ag%3AmSMAAOSwIgNkQiNA&amp;amdata=enc%3AAQAIAAAAsEqxv9v%2FoRLYwnuBa9ZcUus4JBmUieTThqW%2F9YE%2BP%2BRJV7h5x%2FY8iRl%2BmAVQ0OAVEFji8OlLXU6JwZapHLajvo1encMkQdJIr9kkiWhBn1jG7rElMKKu7SOzTJ%2BEz808Edf1mumXhCigkKbgKsj0uprqDAH7JCJ0OCDCdLcRS6dYajv%2Fhh6QM6AavFkebCg2s3wb74r2lqFVp8Lv%2BcEux76wnmc0NMiFzz9nmbhoeETe%7Ctkp%3ABk9SR4KHk4f4YQ&amp;LH_ItemCondition=3000%7C4000%7C5000%7C6000</t>
  </si>
  <si>
    <t>rx 6600</t>
  </si>
  <si>
    <t>https://www.ebay.com/itm/204304486212</t>
  </si>
  <si>
    <t>rx 6600 (refurb, amazon)</t>
  </si>
  <si>
    <t>4.24.23</t>
  </si>
  <si>
    <t>https://www.amazon.com/gp/product/B0BWBHQ2RN/ref=ox_sc_act_title_2?smid=AGMPRYJTZV22S&amp;psc=1</t>
  </si>
  <si>
    <t xml:space="preserve">rx 6600 xt </t>
  </si>
  <si>
    <t>https://www.ebay.com/itm/354728006928?epid=6048642096&amp;hash=item52976fd510:g:nAsAAOSwHuVj98X-&amp;amdata=enc%3AAQAIAAAA4KsKCWCvFCFs6%2BW8ybfwHxETVOEVecBljUCfEHfUjUYO%2BnKnMdMkNaTmsvruH9YlfIEbVmM2JY6KxvCBZQgR8hLHdKtbIzhzYzkcUYxIYN14IrNY0%2BxV3bZXnI2tv29rgBSLy3HQnUIKIbfrTNG1p%2FZ4yvovPi4QAjJjWZ%2BMC25Aw7IoZ1pQlOk63E%2BXZcQ120t4tpLJzUY%2F9XSDTnyYyZ7yJCUTbFEobp%2FRAD2wa6e%2B0ED9IYAjw8ZXr1AmDGHXBthFWIIFfbB8Bm0Xo25hVkleBT%2BlhUawcoeli8%2B3%2Brhh%7Ctkp%3ABk9SR4brxPnyYQ&amp;autorefresh=true</t>
  </si>
  <si>
    <t>rtx 3060 12gb</t>
  </si>
  <si>
    <t>RT, HDMI 2.1 SAM, VSR</t>
  </si>
  <si>
    <t>https://www.ebay.com/itm/385554162565?epid=11051301031&amp;hash=item59c4d1a385%3Ag%3ATZ0AAOSwO3dhxAOf&amp;amdata=enc%3AAQAIAAAA4EIDYzT3hnjq20HoapQqKmiqCflZBe0BUrwMBKAiFayza83LEO7idsEFm7jVUrCuWKr43RFl19Jpjy5b88DkrEfB%2Fzt10v5vGxhsGhjbQF%2F9e%2FTTWuIIlRlcEGholbCxxrVMIjOYsco%2FFSXB%2FSMY31q80m50O%2FbEk5fmcTNIC%2Fj0CbovmgXbN2oR%2BWdTixlmNMtSf%2FwmosIjQPGvc%2Fn0gafJMl%2FSaMTXNCub7%2BKbVOMDjUgNeqGH6aed95fuSXKL2smsvXo8GGb0sn%2BEDGMrqvJ2cRuZei2fHAF1vtf3cTYC%7Ctkp%3ABk9SR8qj5_XyYQ&amp;LH_BIN=1</t>
  </si>
  <si>
    <t>rx 6650 xt (ebay)</t>
  </si>
  <si>
    <t>https://www.ebay.com/itm/115771127326?epid=13058450129&amp;hash=item1af47f361e:g:suQAAOSw9TZkOsaP&amp;amdata=enc%3AAQAIAAAAwK3uf99pQVRkbA0CvX%2FkGs3pIME34yCDsJCeMFtbjxZaSoDk7Ipj6CHEp%2Br%2BgNvOoJct4Wo%2FBHSB19tyuk5AP7onLsQh4CGWwhteFcq%2FGS0%2BeNyRvZk25fMJ0AzUvhPOS6%2FEw91msfLh7m1fewjvcTnf%2BHrv3a7ug7Q%2FRzWeoBFWSIkmiRX8feH9PbgjXN4aBxec%2BQoCzOV83aV7rTU5NJBSWA4BmVbwNFx3szE5EaktGViRKLl4uLqHBJz1Q3q8QA%3D%3D%7Ctkp%3ABk9SR7TZn4f0YQ</t>
  </si>
  <si>
    <t>rx 6650 xt (used, amazon)</t>
  </si>
  <si>
    <t>Currently sold out of used</t>
  </si>
  <si>
    <t>https://www.amazon.com/gp/product/B09ZLRDMXX/ref=ox_sc_act_title_1?smid=A2L77EE7U53NWQ&amp;psc=1</t>
  </si>
  <si>
    <t>gtx 1080</t>
  </si>
  <si>
    <t>https://www.ebay.com/itm/266224108035?hash=item3dfc318203:g:UEcAAOSwTrNkPfH1&amp;amdata=enc%3AAQAIAAAA4Gjf%2BLMLVFs37aMibVnTTggBK4TplK%2FY0fNSNSwAEAD%2Fsx3xSE0GxKlLfzojj88XzUYGtgDERRXCAwDt8iWyNFeSXKA%2B33PMJP6JOqqWXPuk8fiUnrDj4mb%2BH20wH%2Bio5cFpNXdQByvXkhlzjQZIUKXkgWfjfXnK33JeFv%2BoF6N9UJTQuxohh2jS2GlWvfVyX5qJL%2F9%2BSoNKMbs9kMW9IxMWilsegxplGH%2FbpNFZN%2FTTfUCAY1YWmbIHxuEezAP%2BhEG4KNa0wATSxhWaNqFS%2FkhLbm0P%2FeB2wUXuibnaszGH%7Ctkp%3ABFBM6OXB5PJh</t>
  </si>
  <si>
    <t>rx 580 8gb</t>
  </si>
  <si>
    <t>GDDR5</t>
  </si>
  <si>
    <t>https://www.ebay.com/itm/394578700393?hash=item5bdeb92869:g:sesAAOSwwkZkPE8V&amp;amdata=enc%3AAQAIAAAAwFjUkLMlovubxJEulOR6h0I22s%2BSZ2kRR7iHHWaBpqMPtbYWZstgyXTPhuyIBrfz%2BygcCsPw8yrbFdvzqrxvzatJUrs0%2BdFKxaiLK3xOgBm4Gd3DhserawimL64h60sMbwKAZjIUGwcH2zwxEnxQ7vYn5xJeOoPVS2wOqoLtaP3ooNVeeMdqcnTsNtMJ6CkJdNWez7tZcuMQDDfRJAwiUKucd4vt1F%2FPjOPcHxlBZ0Td1QoY5A1rz%2BZTgVKHBQQQpQ%3D%3D%7Ctkp%3ABk9SR8KTzdz0YQ</t>
  </si>
  <si>
    <t>rtx 3060 ti</t>
  </si>
  <si>
    <t>GDDR6/GDDR6X</t>
  </si>
  <si>
    <t>https://www.ebay.com/itm/145031047362?hash=item21c48628c2:g:Ge0AAOSwNWNkL~BO&amp;amdata=enc%3AAQAIAAAA4KASDNdVGoIpWmVzaYnmOEYOLWlaAxj13sSTlfames0K1mS1wTlId8wIsK7VlQR5j1hYsHA2b%2FxjdePBdyMAfKNx%2Bv4SHoAJMoYKTkDb3O%2FDnzf%2Fj6tuXRQZMMM1JhT1b2z%2BSsO850E3YvQWQbeoUvO11R%2FOYigxrFhW2rP%2Bm6oNPmSi9TM5iPPo6sQBT2mKTAEd9%2BUxJcj9qEelrKnQe32Ukr%2FfojyW7A%2FTkrNOPVeXDD6eLsqXHWm7UGT7xOKtQrYI3zr4nrmDPzaVOT2H%2B%2BMuBGe6%2BrhnCKW%2FDnYvPdFd%7Ctkp%3ABk9SR97J8_XyYQ</t>
  </si>
  <si>
    <t>rx Vega 56</t>
  </si>
  <si>
    <t>HBM2</t>
  </si>
  <si>
    <t>https://www.ebay.com/itm/115772778130</t>
  </si>
  <si>
    <t>rx 7800 xt (MSRP)</t>
  </si>
  <si>
    <t>1.6.25</t>
  </si>
  <si>
    <t>* Desired target price based on listings sold on eBay as used/refurb. Shipping is supposed to be included in these numbers but I may have missed a few.</t>
  </si>
  <si>
    <t>* Theoretically, the higher this percentage, the higher your chances of getting one for this price on eBay. Ratio is (# sold within ~$15 of target price)/(total # sold) within last 2 days of timestamp, or more days if the card doesn't sell often at any price. This number is a very rough estimate of success.</t>
  </si>
  <si>
    <t>* # of GPU sold for within ~10% of stated price within the last 24 hours</t>
  </si>
  <si>
    <t>* Decimal place represents number of days since last sale at that price (1/X number of days, so 1 sold 4 days ago = 1/4 = 0.25)</t>
  </si>
  <si>
    <t>* Performance numbers taken from Toms GPU Hierarchy list</t>
  </si>
  <si>
    <t>* Decimal place rule applies to numbers greater than 1 to show that those prices are not one time flukes (So 1.25 means that 1 was sold within the last day, and another was sold 4 days ago)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</si>
</sst>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2" x14ac:knownFonts="1">
    <font>
      <sz val="10"/>
      <color rgb="FF000000"/>
      <name val="Arial"/>
      <scheme val="minor"/>
    </font>
    <font>
      <sz val="11"/>
      <color theme="1"/>
      <name val="Arial"/>
      <scheme val="minor"/>
    </font>
    <font>
      <b/>
      <sz val="11"/>
      <color theme="1"/>
      <name val="Arial"/>
      <scheme val="minor"/>
    </font>
    <font>
      <b/>
      <sz val="11"/>
      <color rgb="FFFFFFFF"/>
      <name val="Arial"/>
      <scheme val="minor"/>
    </font>
    <font>
      <sz val="11"/>
      <color rgb="FFFFFFFF"/>
      <name val="Arial"/>
      <scheme val="minor"/>
    </font>
    <font>
      <u/>
      <sz val="11"/>
      <color rgb="FF0000FF"/>
      <name val="Arial"/>
    </font>
    <font>
      <sz val="11"/>
      <color theme="1"/>
      <name val="Arial"/>
    </font>
    <font>
      <sz val="11"/>
      <color rgb="FFFFFFFF"/>
      <name val="Arial"/>
    </font>
    <font>
      <u/>
      <sz val="11"/>
      <color rgb="FF0000FF"/>
      <name val="Arial"/>
    </font>
    <font>
      <u/>
      <sz val="11"/>
      <color rgb="FF0000FF"/>
      <name val="Arial"/>
    </font>
    <font>
      <sz val="10"/>
      <color theme="1"/>
      <name val="Arial"/>
    </font>
    <font>
      <u/>
      <sz val="11"/>
      <color rgb="FF1155CC"/>
      <name val="Arial"/>
    </font>
    <font>
      <u/>
      <sz val="11"/>
      <color rgb="FF1155CC"/>
      <name val="Arial"/>
    </font>
    <font>
      <u/>
      <sz val="11"/>
      <color rgb="FF1155CC"/>
      <name val="Arial"/>
    </font>
    <font>
      <u/>
      <sz val="11"/>
      <color rgb="FF1155CC"/>
      <name val="Arial"/>
      <scheme val="minor"/>
    </font>
    <font>
      <u/>
      <sz val="11"/>
      <color rgb="FF0000FF"/>
      <name val="Arial"/>
    </font>
    <font>
      <u/>
      <sz val="11"/>
      <color rgb="FF0000FF"/>
      <name val="Arial"/>
    </font>
    <font>
      <sz val="10"/>
      <color theme="1"/>
      <name val="Arial"/>
      <scheme val="minor"/>
    </font>
    <font>
      <u/>
      <sz val="11"/>
      <color rgb="FF1155CC"/>
      <name val="Arial"/>
    </font>
    <font>
      <sz val="11"/>
      <color rgb="FF000000"/>
      <name val="Arial"/>
    </font>
    <font>
      <u/>
      <sz val="11"/>
      <color rgb="FF000000"/>
      <name val="Arial"/>
    </font>
    <font>
      <sz val="11"/>
      <name val="Arial"/>
    </font>
  </fonts>
  <fills count="55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rgb="FFEE976F"/>
        <bgColor rgb="FFEE976F"/>
      </patternFill>
    </fill>
    <fill>
      <patternFill patternType="solid">
        <fgColor rgb="FF80C281"/>
        <bgColor rgb="FF80C281"/>
      </patternFill>
    </fill>
    <fill>
      <patternFill patternType="solid">
        <fgColor rgb="FF90C57D"/>
        <bgColor rgb="FF90C57D"/>
      </patternFill>
    </fill>
    <fill>
      <patternFill patternType="solid">
        <fgColor rgb="FF79C182"/>
        <bgColor rgb="FF79C182"/>
      </patternFill>
    </fill>
    <fill>
      <patternFill patternType="solid">
        <fgColor rgb="FFE67C73"/>
        <bgColor rgb="FFE67C73"/>
      </patternFill>
    </fill>
    <fill>
      <patternFill patternType="solid">
        <fgColor rgb="FFABC978"/>
        <bgColor rgb="FFABC978"/>
      </patternFill>
    </fill>
    <fill>
      <patternFill patternType="solid">
        <fgColor rgb="FFD9D9D9"/>
        <bgColor rgb="FFD9D9D9"/>
      </patternFill>
    </fill>
    <fill>
      <patternFill patternType="solid">
        <fgColor rgb="FFE2D16D"/>
        <bgColor rgb="FFE2D16D"/>
      </patternFill>
    </fill>
    <fill>
      <patternFill patternType="solid">
        <fgColor rgb="FFFED467"/>
        <bgColor rgb="FFFED467"/>
      </patternFill>
    </fill>
    <fill>
      <patternFill patternType="solid">
        <fgColor rgb="FFD8D06E"/>
        <bgColor rgb="FFD8D06E"/>
      </patternFill>
    </fill>
    <fill>
      <patternFill patternType="solid">
        <fgColor rgb="FFBECB74"/>
        <bgColor rgb="FFBECB74"/>
      </patternFill>
    </fill>
    <fill>
      <patternFill patternType="solid">
        <fgColor rgb="FFFDD167"/>
        <bgColor rgb="FFFDD167"/>
      </patternFill>
    </fill>
    <fill>
      <patternFill patternType="solid">
        <fgColor rgb="FFF3F3F3"/>
        <bgColor rgb="FFF3F3F3"/>
      </patternFill>
    </fill>
    <fill>
      <patternFill patternType="solid">
        <fgColor rgb="FFD9CF6F"/>
        <bgColor rgb="FFD9CF6F"/>
      </patternFill>
    </fill>
    <fill>
      <patternFill patternType="solid">
        <fgColor rgb="FFC8CE71"/>
        <bgColor rgb="FFC8CE71"/>
      </patternFill>
    </fill>
    <fill>
      <patternFill patternType="solid">
        <fgColor rgb="FFFFD566"/>
        <bgColor rgb="FFFFD566"/>
      </patternFill>
    </fill>
    <fill>
      <patternFill patternType="solid">
        <fgColor rgb="FFCDCE70"/>
        <bgColor rgb="FFCDCE70"/>
      </patternFill>
    </fill>
    <fill>
      <patternFill patternType="solid">
        <fgColor rgb="FFB3CA76"/>
        <bgColor rgb="FFB3CA76"/>
      </patternFill>
    </fill>
    <fill>
      <patternFill patternType="solid">
        <fgColor rgb="FFE8D26B"/>
        <bgColor rgb="FFE8D26B"/>
      </patternFill>
    </fill>
    <fill>
      <patternFill patternType="solid">
        <fgColor rgb="FFDAD06E"/>
        <bgColor rgb="FFDAD06E"/>
      </patternFill>
    </fill>
    <fill>
      <patternFill patternType="solid">
        <fgColor rgb="FFFDCE67"/>
        <bgColor rgb="FFFDCE67"/>
      </patternFill>
    </fill>
    <fill>
      <patternFill patternType="solid">
        <fgColor rgb="FFE6B8AF"/>
        <bgColor rgb="FFE6B8AF"/>
      </patternFill>
    </fill>
    <fill>
      <patternFill patternType="solid">
        <fgColor rgb="FFF6B46A"/>
        <bgColor rgb="FFF6B46A"/>
      </patternFill>
    </fill>
    <fill>
      <patternFill patternType="solid">
        <fgColor rgb="FF87C37F"/>
        <bgColor rgb="FF87C37F"/>
      </patternFill>
    </fill>
    <fill>
      <patternFill patternType="solid">
        <fgColor rgb="FF65BE87"/>
        <bgColor rgb="FF65BE87"/>
      </patternFill>
    </fill>
    <fill>
      <patternFill patternType="solid">
        <fgColor rgb="FF9CC77B"/>
        <bgColor rgb="FF9CC77B"/>
      </patternFill>
    </fill>
    <fill>
      <patternFill patternType="solid">
        <fgColor rgb="FFF5B06B"/>
        <bgColor rgb="FFF5B06B"/>
      </patternFill>
    </fill>
    <fill>
      <patternFill patternType="solid">
        <fgColor rgb="FFF9BF69"/>
        <bgColor rgb="FFF9BF69"/>
      </patternFill>
    </fill>
    <fill>
      <patternFill patternType="solid">
        <fgColor rgb="FFA0C77A"/>
        <bgColor rgb="FFA0C77A"/>
      </patternFill>
    </fill>
    <fill>
      <patternFill patternType="solid">
        <fgColor rgb="FF70BF84"/>
        <bgColor rgb="FF70BF84"/>
      </patternFill>
    </fill>
    <fill>
      <patternFill patternType="solid">
        <fgColor rgb="FFB4CA76"/>
        <bgColor rgb="FFB4CA76"/>
      </patternFill>
    </fill>
    <fill>
      <patternFill patternType="solid">
        <fgColor rgb="FFF8BB69"/>
        <bgColor rgb="FFF8BB69"/>
      </patternFill>
    </fill>
    <fill>
      <patternFill patternType="solid">
        <fgColor rgb="FFB2C977"/>
        <bgColor rgb="FFB2C977"/>
      </patternFill>
    </fill>
    <fill>
      <patternFill patternType="solid">
        <fgColor rgb="FFFBD567"/>
        <bgColor rgb="FFFBD567"/>
      </patternFill>
    </fill>
    <fill>
      <patternFill patternType="solid">
        <fgColor rgb="FFF6B56A"/>
        <bgColor rgb="FFF6B56A"/>
      </patternFill>
    </fill>
    <fill>
      <patternFill patternType="solid">
        <fgColor rgb="FFF4CCCC"/>
        <bgColor rgb="FFF4CCCC"/>
      </patternFill>
    </fill>
    <fill>
      <patternFill patternType="solid">
        <fgColor rgb="FFF9C069"/>
        <bgColor rgb="FFF9C069"/>
      </patternFill>
    </fill>
    <fill>
      <patternFill patternType="solid">
        <fgColor rgb="FF93C57D"/>
        <bgColor rgb="FF93C57D"/>
      </patternFill>
    </fill>
    <fill>
      <patternFill patternType="solid">
        <fgColor rgb="FFF9BD69"/>
        <bgColor rgb="FFF9BD69"/>
      </patternFill>
    </fill>
    <fill>
      <patternFill patternType="solid">
        <fgColor rgb="FFBDCB75"/>
        <bgColor rgb="FFBDCB75"/>
      </patternFill>
    </fill>
    <fill>
      <patternFill patternType="solid">
        <fgColor rgb="FFB9CB75"/>
        <bgColor rgb="FFB9CB75"/>
      </patternFill>
    </fill>
    <fill>
      <patternFill patternType="solid">
        <fgColor rgb="FFF7B96A"/>
        <bgColor rgb="FFF7B96A"/>
      </patternFill>
    </fill>
    <fill>
      <patternFill patternType="solid">
        <fgColor rgb="FFF7D468"/>
        <bgColor rgb="FFF7D468"/>
      </patternFill>
    </fill>
    <fill>
      <patternFill patternType="solid">
        <fgColor rgb="FF9BC67B"/>
        <bgColor rgb="FF9BC67B"/>
      </patternFill>
    </fill>
    <fill>
      <patternFill patternType="solid">
        <fgColor rgb="FFFAC268"/>
        <bgColor rgb="FFFAC268"/>
      </patternFill>
    </fill>
    <fill>
      <patternFill patternType="solid">
        <fgColor rgb="FF8FC47E"/>
        <bgColor rgb="FF8FC47E"/>
      </patternFill>
    </fill>
    <fill>
      <patternFill patternType="solid">
        <fgColor rgb="FF84C281"/>
        <bgColor rgb="FF84C281"/>
      </patternFill>
    </fill>
    <fill>
      <patternFill patternType="solid">
        <fgColor rgb="FFF8BD69"/>
        <bgColor rgb="FFF8BD69"/>
      </patternFill>
    </fill>
    <fill>
      <patternFill patternType="solid">
        <fgColor rgb="FF57BB8A"/>
        <bgColor rgb="FF57BB8A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0" borderId="1" xfId="0" applyFont="1" applyBorder="1"/>
    <xf numFmtId="44" fontId="2" fillId="0" borderId="2" xfId="0" applyNumberFormat="1" applyFont="1" applyBorder="1"/>
    <xf numFmtId="0" fontId="1" fillId="0" borderId="2" xfId="0" applyFont="1" applyBorder="1"/>
    <xf numFmtId="10" fontId="1" fillId="0" borderId="1" xfId="0" applyNumberFormat="1" applyFont="1" applyBorder="1"/>
    <xf numFmtId="0" fontId="3" fillId="2" borderId="0" xfId="0" applyFont="1" applyFill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2" xfId="0" applyFont="1" applyBorder="1"/>
    <xf numFmtId="0" fontId="2" fillId="0" borderId="1" xfId="0" applyFont="1" applyBorder="1" applyAlignment="1">
      <alignment horizontal="right"/>
    </xf>
    <xf numFmtId="0" fontId="2" fillId="3" borderId="2" xfId="0" applyFont="1" applyFill="1" applyBorder="1" applyAlignment="1">
      <alignment horizontal="right"/>
    </xf>
    <xf numFmtId="0" fontId="3" fillId="2" borderId="0" xfId="0" applyFont="1" applyFill="1"/>
    <xf numFmtId="0" fontId="1" fillId="0" borderId="3" xfId="0" applyFont="1" applyBorder="1"/>
    <xf numFmtId="0" fontId="2" fillId="0" borderId="1" xfId="0" applyFont="1" applyBorder="1"/>
    <xf numFmtId="0" fontId="1" fillId="0" borderId="4" xfId="0" applyFont="1" applyBorder="1"/>
    <xf numFmtId="44" fontId="1" fillId="0" borderId="0" xfId="0" applyNumberFormat="1" applyFont="1"/>
    <xf numFmtId="0" fontId="1" fillId="0" borderId="0" xfId="0" applyFont="1"/>
    <xf numFmtId="0" fontId="4" fillId="2" borderId="0" xfId="0" applyFont="1" applyFill="1" applyAlignment="1">
      <alignment horizontal="right"/>
    </xf>
    <xf numFmtId="0" fontId="1" fillId="0" borderId="0" xfId="0" applyFont="1" applyAlignment="1">
      <alignment horizontal="right"/>
    </xf>
    <xf numFmtId="0" fontId="1" fillId="0" borderId="4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0" fontId="4" fillId="2" borderId="0" xfId="0" applyFont="1" applyFill="1"/>
    <xf numFmtId="0" fontId="1" fillId="3" borderId="0" xfId="0" applyFont="1" applyFill="1"/>
    <xf numFmtId="0" fontId="1" fillId="0" borderId="5" xfId="0" applyFont="1" applyBorder="1"/>
    <xf numFmtId="0" fontId="5" fillId="0" borderId="0" xfId="0" applyFont="1"/>
    <xf numFmtId="0" fontId="1" fillId="3" borderId="0" xfId="0" applyFont="1" applyFill="1" applyAlignment="1">
      <alignment horizontal="left"/>
    </xf>
    <xf numFmtId="0" fontId="6" fillId="5" borderId="4" xfId="0" applyFont="1" applyFill="1" applyBorder="1"/>
    <xf numFmtId="44" fontId="6" fillId="6" borderId="0" xfId="0" applyNumberFormat="1" applyFont="1" applyFill="1" applyAlignment="1">
      <alignment horizontal="right"/>
    </xf>
    <xf numFmtId="0" fontId="6" fillId="0" borderId="0" xfId="0" applyFont="1"/>
    <xf numFmtId="0" fontId="7" fillId="2" borderId="0" xfId="0" applyFont="1" applyFill="1" applyAlignment="1">
      <alignment horizontal="right"/>
    </xf>
    <xf numFmtId="0" fontId="1" fillId="0" borderId="4" xfId="0" applyFont="1" applyBorder="1" applyAlignment="1">
      <alignment horizontal="right"/>
    </xf>
    <xf numFmtId="0" fontId="1" fillId="2" borderId="0" xfId="0" applyFont="1" applyFill="1" applyAlignment="1">
      <alignment horizontal="right"/>
    </xf>
    <xf numFmtId="0" fontId="6" fillId="9" borderId="0" xfId="0" applyFont="1" applyFill="1" applyAlignment="1">
      <alignment horizontal="right"/>
    </xf>
    <xf numFmtId="0" fontId="6" fillId="0" borderId="0" xfId="0" applyFont="1" applyAlignment="1">
      <alignment horizontal="right"/>
    </xf>
    <xf numFmtId="0" fontId="6" fillId="3" borderId="0" xfId="0" applyFont="1" applyFill="1" applyAlignment="1">
      <alignment horizontal="right"/>
    </xf>
    <xf numFmtId="0" fontId="6" fillId="10" borderId="0" xfId="0" applyFont="1" applyFill="1" applyAlignment="1">
      <alignment horizontal="right"/>
    </xf>
    <xf numFmtId="0" fontId="6" fillId="11" borderId="5" xfId="0" applyFont="1" applyFill="1" applyBorder="1" applyAlignment="1">
      <alignment horizontal="right"/>
    </xf>
    <xf numFmtId="0" fontId="6" fillId="0" borderId="4" xfId="0" applyFont="1" applyBorder="1"/>
    <xf numFmtId="0" fontId="7" fillId="2" borderId="0" xfId="0" applyFont="1" applyFill="1"/>
    <xf numFmtId="0" fontId="8" fillId="0" borderId="0" xfId="0" applyFont="1"/>
    <xf numFmtId="0" fontId="1" fillId="5" borderId="4" xfId="0" applyFont="1" applyFill="1" applyBorder="1"/>
    <xf numFmtId="0" fontId="1" fillId="3" borderId="0" xfId="0" applyFont="1" applyFill="1" applyAlignment="1">
      <alignment horizontal="right"/>
    </xf>
    <xf numFmtId="0" fontId="9" fillId="0" borderId="0" xfId="0" applyFont="1"/>
    <xf numFmtId="44" fontId="6" fillId="13" borderId="0" xfId="0" applyNumberFormat="1" applyFont="1" applyFill="1" applyAlignment="1">
      <alignment horizontal="right"/>
    </xf>
    <xf numFmtId="0" fontId="10" fillId="2" borderId="0" xfId="0" applyFont="1" applyFill="1"/>
    <xf numFmtId="0" fontId="6" fillId="17" borderId="0" xfId="0" applyFont="1" applyFill="1" applyAlignment="1">
      <alignment horizontal="right"/>
    </xf>
    <xf numFmtId="0" fontId="10" fillId="0" borderId="0" xfId="0" applyFont="1"/>
    <xf numFmtId="0" fontId="6" fillId="18" borderId="0" xfId="0" applyFont="1" applyFill="1" applyAlignment="1">
      <alignment horizontal="right"/>
    </xf>
    <xf numFmtId="0" fontId="6" fillId="19" borderId="0" xfId="0" applyFont="1" applyFill="1" applyAlignment="1">
      <alignment horizontal="right"/>
    </xf>
    <xf numFmtId="0" fontId="6" fillId="20" borderId="5" xfId="0" applyFont="1" applyFill="1" applyBorder="1" applyAlignment="1">
      <alignment horizontal="right"/>
    </xf>
    <xf numFmtId="0" fontId="11" fillId="0" borderId="0" xfId="0" applyFont="1"/>
    <xf numFmtId="44" fontId="6" fillId="21" borderId="0" xfId="0" applyNumberFormat="1" applyFont="1" applyFill="1" applyAlignment="1">
      <alignment horizontal="right"/>
    </xf>
    <xf numFmtId="0" fontId="10" fillId="2" borderId="0" xfId="0" applyFont="1" applyFill="1" applyAlignment="1">
      <alignment horizontal="right"/>
    </xf>
    <xf numFmtId="0" fontId="6" fillId="25" borderId="0" xfId="0" applyFont="1" applyFill="1" applyAlignment="1">
      <alignment horizontal="right"/>
    </xf>
    <xf numFmtId="0" fontId="10" fillId="0" borderId="0" xfId="0" applyFont="1" applyAlignment="1">
      <alignment horizontal="right"/>
    </xf>
    <xf numFmtId="0" fontId="6" fillId="26" borderId="4" xfId="0" applyFont="1" applyFill="1" applyBorder="1" applyAlignment="1">
      <alignment horizontal="right"/>
    </xf>
    <xf numFmtId="0" fontId="6" fillId="20" borderId="0" xfId="0" applyFont="1" applyFill="1" applyAlignment="1">
      <alignment horizontal="right"/>
    </xf>
    <xf numFmtId="0" fontId="6" fillId="27" borderId="4" xfId="0" applyFont="1" applyFill="1" applyBorder="1"/>
    <xf numFmtId="44" fontId="6" fillId="28" borderId="0" xfId="0" applyNumberFormat="1" applyFont="1" applyFill="1" applyAlignment="1">
      <alignment horizontal="right"/>
    </xf>
    <xf numFmtId="0" fontId="6" fillId="31" borderId="0" xfId="0" applyFont="1" applyFill="1" applyAlignment="1">
      <alignment horizontal="right"/>
    </xf>
    <xf numFmtId="0" fontId="6" fillId="32" borderId="4" xfId="0" applyFont="1" applyFill="1" applyBorder="1" applyAlignment="1">
      <alignment horizontal="right"/>
    </xf>
    <xf numFmtId="0" fontId="12" fillId="0" borderId="0" xfId="0" applyFont="1"/>
    <xf numFmtId="44" fontId="6" fillId="33" borderId="0" xfId="0" applyNumberFormat="1" applyFont="1" applyFill="1" applyAlignment="1">
      <alignment horizontal="right"/>
    </xf>
    <xf numFmtId="0" fontId="6" fillId="36" borderId="0" xfId="0" applyFont="1" applyFill="1" applyAlignment="1">
      <alignment horizontal="right"/>
    </xf>
    <xf numFmtId="0" fontId="6" fillId="37" borderId="0" xfId="0" applyFont="1" applyFill="1" applyAlignment="1">
      <alignment horizontal="right"/>
    </xf>
    <xf numFmtId="0" fontId="6" fillId="38" borderId="4" xfId="0" applyFont="1" applyFill="1" applyBorder="1" applyAlignment="1">
      <alignment horizontal="right"/>
    </xf>
    <xf numFmtId="0" fontId="6" fillId="32" borderId="0" xfId="0" applyFont="1" applyFill="1" applyAlignment="1">
      <alignment horizontal="right"/>
    </xf>
    <xf numFmtId="0" fontId="6" fillId="39" borderId="0" xfId="0" applyFont="1" applyFill="1" applyAlignment="1">
      <alignment horizontal="right"/>
    </xf>
    <xf numFmtId="0" fontId="6" fillId="40" borderId="0" xfId="0" applyFont="1" applyFill="1" applyAlignment="1">
      <alignment horizontal="right"/>
    </xf>
    <xf numFmtId="0" fontId="13" fillId="0" borderId="0" xfId="0" applyFont="1"/>
    <xf numFmtId="0" fontId="6" fillId="41" borderId="4" xfId="0" applyFont="1" applyFill="1" applyBorder="1"/>
    <xf numFmtId="44" fontId="6" fillId="0" borderId="0" xfId="0" applyNumberFormat="1" applyFont="1" applyAlignment="1">
      <alignment horizontal="right"/>
    </xf>
    <xf numFmtId="0" fontId="6" fillId="0" borderId="5" xfId="0" applyFont="1" applyBorder="1" applyAlignment="1">
      <alignment horizontal="right"/>
    </xf>
    <xf numFmtId="0" fontId="14" fillId="0" borderId="0" xfId="0" applyFont="1"/>
    <xf numFmtId="44" fontId="6" fillId="42" borderId="0" xfId="0" applyNumberFormat="1" applyFont="1" applyFill="1" applyAlignment="1">
      <alignment horizontal="right"/>
    </xf>
    <xf numFmtId="0" fontId="6" fillId="49" borderId="0" xfId="0" applyFont="1" applyFill="1" applyAlignment="1">
      <alignment horizontal="right"/>
    </xf>
    <xf numFmtId="0" fontId="6" fillId="50" borderId="0" xfId="0" applyFont="1" applyFill="1" applyAlignment="1">
      <alignment horizontal="right"/>
    </xf>
    <xf numFmtId="0" fontId="6" fillId="51" borderId="4" xfId="0" applyFont="1" applyFill="1" applyBorder="1" applyAlignment="1">
      <alignment horizontal="right"/>
    </xf>
    <xf numFmtId="0" fontId="6" fillId="26" borderId="0" xfId="0" applyFont="1" applyFill="1" applyAlignment="1">
      <alignment horizontal="right"/>
    </xf>
    <xf numFmtId="0" fontId="6" fillId="52" borderId="0" xfId="0" applyFont="1" applyFill="1" applyAlignment="1">
      <alignment horizontal="right"/>
    </xf>
    <xf numFmtId="0" fontId="6" fillId="53" borderId="0" xfId="0" applyFont="1" applyFill="1" applyAlignment="1">
      <alignment horizontal="right"/>
    </xf>
    <xf numFmtId="0" fontId="6" fillId="8" borderId="5" xfId="0" applyFont="1" applyFill="1" applyBorder="1" applyAlignment="1">
      <alignment horizontal="right"/>
    </xf>
    <xf numFmtId="0" fontId="15" fillId="0" borderId="0" xfId="0" applyFont="1"/>
    <xf numFmtId="0" fontId="1" fillId="41" borderId="4" xfId="0" applyFont="1" applyFill="1" applyBorder="1"/>
    <xf numFmtId="44" fontId="6" fillId="10" borderId="0" xfId="0" applyNumberFormat="1" applyFont="1" applyFill="1" applyAlignment="1">
      <alignment horizontal="right"/>
    </xf>
    <xf numFmtId="0" fontId="6" fillId="54" borderId="0" xfId="0" applyFont="1" applyFill="1" applyAlignment="1">
      <alignment horizontal="right"/>
    </xf>
    <xf numFmtId="0" fontId="6" fillId="10" borderId="4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4" fillId="2" borderId="2" xfId="0" applyFont="1" applyFill="1" applyBorder="1"/>
    <xf numFmtId="0" fontId="1" fillId="0" borderId="1" xfId="0" applyFont="1" applyBorder="1" applyAlignment="1">
      <alignment horizontal="left"/>
    </xf>
    <xf numFmtId="0" fontId="16" fillId="0" borderId="2" xfId="0" applyFont="1" applyBorder="1"/>
    <xf numFmtId="10" fontId="1" fillId="0" borderId="0" xfId="0" applyNumberFormat="1" applyFont="1"/>
    <xf numFmtId="0" fontId="4" fillId="0" borderId="0" xfId="0" applyFont="1"/>
    <xf numFmtId="44" fontId="17" fillId="0" borderId="0" xfId="0" applyNumberFormat="1" applyFont="1"/>
    <xf numFmtId="0" fontId="18" fillId="0" borderId="0" xfId="0" applyFont="1" applyAlignment="1">
      <alignment horizontal="left"/>
    </xf>
    <xf numFmtId="0" fontId="6" fillId="7" borderId="0" xfId="0" applyFont="1" applyFill="1"/>
    <xf numFmtId="0" fontId="6" fillId="8" borderId="0" xfId="0" applyFont="1" applyFill="1"/>
    <xf numFmtId="0" fontId="6" fillId="14" borderId="0" xfId="0" applyFont="1" applyFill="1"/>
    <xf numFmtId="0" fontId="6" fillId="15" borderId="0" xfId="0" applyFont="1" applyFill="1"/>
    <xf numFmtId="0" fontId="6" fillId="16" borderId="0" xfId="0" applyFont="1" applyFill="1"/>
    <xf numFmtId="0" fontId="6" fillId="22" borderId="0" xfId="0" applyFont="1" applyFill="1"/>
    <xf numFmtId="0" fontId="6" fillId="23" borderId="0" xfId="0" applyFont="1" applyFill="1"/>
    <xf numFmtId="0" fontId="6" fillId="24" borderId="0" xfId="0" applyFont="1" applyFill="1"/>
    <xf numFmtId="0" fontId="6" fillId="29" borderId="0" xfId="0" applyFont="1" applyFill="1"/>
    <xf numFmtId="0" fontId="6" fillId="30" borderId="0" xfId="0" applyFont="1" applyFill="1"/>
    <xf numFmtId="0" fontId="6" fillId="34" borderId="0" xfId="0" applyFont="1" applyFill="1"/>
    <xf numFmtId="0" fontId="6" fillId="35" borderId="0" xfId="0" applyFont="1" applyFill="1"/>
    <xf numFmtId="0" fontId="6" fillId="43" borderId="0" xfId="0" applyFont="1" applyFill="1"/>
    <xf numFmtId="0" fontId="6" fillId="44" borderId="0" xfId="0" applyFont="1" applyFill="1"/>
    <xf numFmtId="0" fontId="6" fillId="45" borderId="4" xfId="0" applyFont="1" applyFill="1" applyBorder="1"/>
    <xf numFmtId="0" fontId="6" fillId="46" borderId="0" xfId="0" applyFont="1" applyFill="1"/>
    <xf numFmtId="0" fontId="6" fillId="47" borderId="0" xfId="0" applyFont="1" applyFill="1"/>
    <xf numFmtId="0" fontId="6" fillId="48" borderId="0" xfId="0" applyFont="1" applyFill="1"/>
    <xf numFmtId="0" fontId="6" fillId="54" borderId="0" xfId="0" applyFont="1" applyFill="1"/>
    <xf numFmtId="44" fontId="1" fillId="0" borderId="0" xfId="0" applyNumberFormat="1" applyFont="1" applyAlignment="1">
      <alignment horizontal="right"/>
    </xf>
    <xf numFmtId="10" fontId="1" fillId="4" borderId="4" xfId="0" applyNumberFormat="1" applyFont="1" applyFill="1" applyBorder="1" applyAlignment="1">
      <alignment horizontal="right"/>
    </xf>
    <xf numFmtId="10" fontId="1" fillId="0" borderId="4" xfId="0" applyNumberFormat="1" applyFont="1" applyBorder="1" applyAlignment="1">
      <alignment horizontal="right"/>
    </xf>
    <xf numFmtId="0" fontId="1" fillId="12" borderId="4" xfId="0" applyFont="1" applyFill="1" applyBorder="1" applyAlignment="1">
      <alignment horizontal="right"/>
    </xf>
    <xf numFmtId="0" fontId="6" fillId="12" borderId="4" xfId="0" applyFont="1" applyFill="1" applyBorder="1" applyAlignment="1">
      <alignment horizontal="right"/>
    </xf>
    <xf numFmtId="0" fontId="6" fillId="4" borderId="4" xfId="0" applyFont="1" applyFill="1" applyBorder="1" applyAlignment="1">
      <alignment horizontal="right"/>
    </xf>
    <xf numFmtId="44" fontId="1" fillId="0" borderId="2" xfId="0" applyNumberFormat="1" applyFont="1" applyBorder="1" applyAlignment="1">
      <alignment horizontal="right"/>
    </xf>
    <xf numFmtId="10" fontId="1" fillId="0" borderId="1" xfId="0" applyNumberFormat="1" applyFont="1" applyBorder="1" applyAlignment="1">
      <alignment horizontal="right"/>
    </xf>
    <xf numFmtId="10" fontId="1" fillId="0" borderId="0" xfId="0" applyNumberFormat="1" applyFont="1" applyAlignment="1">
      <alignment horizontal="right"/>
    </xf>
    <xf numFmtId="0" fontId="1" fillId="12" borderId="0" xfId="0" applyFont="1" applyFill="1" applyAlignment="1">
      <alignment horizontal="right"/>
    </xf>
  </cellXfs>
  <cellStyles count="1">
    <cellStyle name="Normal" xfId="0" builtinId="0"/>
  </cellStyles>
  <dxfs count="1">
    <dxf>
      <fill>
        <patternFill patternType="solid">
          <fgColor rgb="FFCCCCCC"/>
          <bgColor rgb="FFCC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keepa.com/" TargetMode="External"/><Relationship Id="rId18" Type="http://schemas.openxmlformats.org/officeDocument/2006/relationships/hyperlink" Target="https://www.ebay.com/sch/i.html?_from=R40&amp;_trksid=p2334524.m570.l1313&amp;_nkw=rx+6750+xt&amp;_sacat=0&amp;LH_TitleDesc=0&amp;rt=nc&amp;_odkw=rx+6700+xt&amp;_osacat=0&amp;_sop=13&amp;LH_PrefLoc=2&amp;LH_Complete=1&amp;_udhi=315&amp;LH_Sold=1" TargetMode="External"/><Relationship Id="rId26" Type="http://schemas.openxmlformats.org/officeDocument/2006/relationships/hyperlink" Target="https://www.reddit.com/r/buildapcsales/comments/1hoes7o/gpu_sapphire_pulse_radeon_7900_xt_20gb_gddr6_pcie/" TargetMode="External"/><Relationship Id="rId39" Type="http://schemas.openxmlformats.org/officeDocument/2006/relationships/hyperlink" Target="https://www.ebay.com/itm/354728006928?epid=6048642096&amp;hash=item52976fd510:g:nAsAAOSwHuVj98X-&amp;amdata=enc%3AAQAIAAAA4KsKCWCvFCFs6%2BW8ybfwHxETVOEVecBljUCfEHfUjUYO%2BnKnMdMkNaTmsvruH9YlfIEbVmM2JY6KxvCBZQgR8hLHdKtbIzhzYzkcUYxIYN14IrNY0%2BxV3bZXnI2tv29rgBSLy3HQnUIKIbfrTNG1p%2FZ4yvovPi4QAjJjWZ%2BMC25Aw7IoZ1pQlOk63E%2BXZcQ120t4tpLJzUY%2F9XSDTnyYyZ7yJCUTbFEobp%2FRAD2wa6e%2B0ED9IYAjw8ZXr1AmDGHXBthFWIIFfbB8Bm0Xo25hVkleBT%2BlhUawcoeli8%2B3%2Brhh%7Ctkp%3ABk9SR4brxPnyYQ&amp;autorefresh=true" TargetMode="External"/><Relationship Id="rId21" Type="http://schemas.openxmlformats.org/officeDocument/2006/relationships/hyperlink" Target="https://www.amazon.com/XFX-Speedster-MERC310-Graphics-RX-79TMERCW9/dp/B0DNR86QPQ/ref=sr_1_6?crid=2XCHAAZKIATPC&amp;dib=eyJ2IjoiMSJ9._sBMn59iaUCuTG8BDI3C-W_gfjbtw-2MrXDckz1E8WasXYdQwi9op8QdCo_ud_yPuitccTJ2_qf4tCDkhSs0s8fNFqy02T1wbFihkvDVY21p009CSzcfgbrQaBRMpFouqawZwEQC9nw0pE8k5psbwLIqdRgVH3_ASHL7NrKLFWVyYWCmyKH9cgjlzPyBRZwKANeiAUzSjlGJHxjKRgAIcduVAR7ICWaLMlskSO1Dbg4lxb-pZ92D1jkCtYMC5ouDmAJ7J9cglAkL5UUbcHqMGuc2IGMzeR1yuLES9r24CwJV9zYmToE-UofqomNAFhsWGgIjIzBiIEyUcmb0InngMR7WQPtZYlN2JkWws6lBjy0.WBzLqI73XixDcBQEPis094n1FS_DgtC-CGoIxxdHQh0&amp;dib_tag=se&amp;keywords=rx+6950+xt&amp;qid=1736218010&amp;s=electronics&amp;sprefix=rx+6950+xt%2Celectronics%2C177&amp;sr=1-6" TargetMode="External"/><Relationship Id="rId34" Type="http://schemas.openxmlformats.org/officeDocument/2006/relationships/hyperlink" Target="https://keepa.com/" TargetMode="External"/><Relationship Id="rId42" Type="http://schemas.openxmlformats.org/officeDocument/2006/relationships/hyperlink" Target="https://www.amazon.com/gp/product/B09ZLRDMXX/ref=ox_sc_act_title_1?smid=A2L77EE7U53NWQ&amp;psc=1" TargetMode="External"/><Relationship Id="rId47" Type="http://schemas.openxmlformats.org/officeDocument/2006/relationships/hyperlink" Target="https://www.tomshardware.com/reviews/gpu-hierarchy,4388.html" TargetMode="External"/><Relationship Id="rId7" Type="http://schemas.openxmlformats.org/officeDocument/2006/relationships/hyperlink" Target="https://www.ebay.com/itm/275789411327?epid=9045834094&amp;hash=item40365473ff:g:Th4AAOSwdYFkNttI&amp;amdata=enc%3AAQAIAAAAwFCngVmHO6S%2BlIVeoxHsNgl2UWN4awU4YDcgIF0U26NigR0WgCiO9n7o44yPleuiC%2B%2Fb6O4On7p7UT3ktrZwHLQiq5ZKNMCYfS%2B3rQ7U9Ge0K02dCIrVo9LvRVFNvug5fz0beVnW7atC7qpJu0ZrLc25uCNZGtyJMlzb6HfzXN0jXvrZFSfSODbiglInjkyWKtbz6URnOWtRgc2c5pE8Bsxb0LwEatH3vGNrOIhKNTnBblh%2FUZLV5nNCH95FadtoTA%3D%3D%7Ctkp%3ABk9SR5Danob0YQ" TargetMode="External"/><Relationship Id="rId2" Type="http://schemas.openxmlformats.org/officeDocument/2006/relationships/hyperlink" Target="https://www.ebay.com/sch/i.html?_from=R40&amp;_nkw=rx+5700+xt&amp;_sacat=0&amp;rt=nc&amp;LH_Sold=1&amp;LH_Complete=1" TargetMode="External"/><Relationship Id="rId16" Type="http://schemas.openxmlformats.org/officeDocument/2006/relationships/hyperlink" Target="https://www.ebay.com/itm/314519668104?hash=item493ad54588:g:~X0AAOSwdQlkFz1f&amp;amdata=enc%3AAQAIAAAAwCsZKAfXVsizFl9%2BnGp0qY%2BR24aaVFV3PiwGTI3Eb%2Frwhuu3l5z0VFxl0M4VERJIKPMUS9FYXRp4gh16Ld9hiqeSHqE8whv36piLorc0cIXP%2B8niy%2FST%2BpF5vKJyaOAHnZtF3wbI4n2OXZrJfotqveeVQGNddjAX7EsEeGiw4ZjjDPyZuV5cUKHyCILNnRJM70JUT76nV974pWLBfiQpUm6WVf6ePXU4czMgHHAwp1ddKs6UMVSv43N63Jx131RnrQ%3D%3D%7Ctkp%3ABk9SR5CJuYb0YQ" TargetMode="External"/><Relationship Id="rId29" Type="http://schemas.openxmlformats.org/officeDocument/2006/relationships/hyperlink" Target="https://www.reddit.com/r/buildapcsales/comments/12ibstj/gpu_asrock_phantom_gaming_radeon_rx_6950_xt_16gb/" TargetMode="External"/><Relationship Id="rId1" Type="http://schemas.openxmlformats.org/officeDocument/2006/relationships/hyperlink" Target="https://www.ebay.com/itm/304890489044?epid=28029958286&amp;hash=item46fce3a8d4:g:lU4AAOSwxtFkJkyw&amp;amdata=enc%3AAQAIAAAA4PH%2B2e%2F2xaZbIlHcynOoGltJvcW%2FfxaivAxigdSDkEK3ugkVeURC07MtYOM5ErO0KA4VYEd%2BBAuZM4%2FqVhkMZYxBTRgib0QoTnqda5nzuhtlpYl%2FDsiMUCBhBhcq9b%2BYc8t40FZzdO%2BNYm7Dhu2p4YmEUUq0Yf2jbrubhYdYdOuPjhO1Egb%2FIBhruGRGoMsyFppjIoFGpa1qhmOSPKe1wnIWV%2ByVz%2FEg0N7zCC741Owkg8cEb0u7OZpnWpPpBph5gsTL4jyAeURDfkgAWxWrJekNjJHND4PjnZCmjDVpuQXF%7Ctkp%3ABFBMjp-t8_dh" TargetMode="External"/><Relationship Id="rId6" Type="http://schemas.openxmlformats.org/officeDocument/2006/relationships/hyperlink" Target="https://www.ebay.com/itm/195732870536?hash=item2d92969588:g:sMYAAOSwWOlkSi5D&amp;amdata=enc%3AAQAIAAAA4LvSMGjaByWrV36Kor8yAGiOpoNIaKeP0SoYgi5O2ta00QxVl218GL6Qw0OmRnWAWWFdWuRqAuMBjjSreSzILeVSBn4Pvxp%2BYSV2U2o504lsRtC2oDoKBgUZRUhl1hjkwv5jkypJTWRdDpbPzGPcCQdqDd%2B10%2Fj1Cv1Z4D9SX6HxWMkdryO0G9l6NvRXEKsP7U0Veb7YA4HcrsMZh8ZevIOO6yLSMWtc%2BjLnd7K8xJ8jg%2FLgter2X%2BlQqNmrRzH0CTAxP2PBE5ZHH63c0GNtILTC9%2FHQLxAES08GP2NJ0XLt%7Ctkp%3ABk9SR5q_p7_4YQ" TargetMode="External"/><Relationship Id="rId11" Type="http://schemas.openxmlformats.org/officeDocument/2006/relationships/hyperlink" Target="https://keepa.com/" TargetMode="External"/><Relationship Id="rId24" Type="http://schemas.openxmlformats.org/officeDocument/2006/relationships/hyperlink" Target="https://www.amazon.com/gp/product/B0BMWHJ5Q7/ref=ewc_pr_img_1?smid=ATVPDKIKX0DER&amp;th=1" TargetMode="External"/><Relationship Id="rId32" Type="http://schemas.openxmlformats.org/officeDocument/2006/relationships/hyperlink" Target="https://www.ebay.com/itm/115793437852?hash=item1af5d3a49c:g:lZYAAOSwBRJkUvae&amp;amdata=enc%3AAQAIAAAA4F0KxPB1kUkYhC2qqnMHYo3Psf8yNAL0DBHLkfy2uoLrnioAbwcdZmXwj212oTu3%2FdcKeW5HDTn%2FWEwo0CiQVEQcl0gdn1kHRtfgwmqaWw%2BSy8I9akd5w4SmBZPan2Ny5MMevF4VrwXKiTQvf%2FGbx2%2FikgekZrIadZsJHzNLWejwZkJg7sybr3tC2guiCQEm61ZwtmxVrQc65LA9ywVdFDqFZ4PcgwXsxru8hV9kT0oM3ynrXb4Hh5ED1AZu%2FYwC5ABPUqlS%2FQpXqTAwUGfVyFfqDDAsnB7O1fOL421NOn1z%7Ctkp%3ABk9SR57H0KqAYg" TargetMode="External"/><Relationship Id="rId37" Type="http://schemas.openxmlformats.org/officeDocument/2006/relationships/hyperlink" Target="https://www.ebay.com/itm/204304486212" TargetMode="External"/><Relationship Id="rId40" Type="http://schemas.openxmlformats.org/officeDocument/2006/relationships/hyperlink" Target="https://www.ebay.com/itm/385554162565?epid=11051301031&amp;hash=item59c4d1a385%3Ag%3ATZ0AAOSwO3dhxAOf&amp;amdata=enc%3AAQAIAAAA4EIDYzT3hnjq20HoapQqKmiqCflZBe0BUrwMBKAiFayza83LEO7idsEFm7jVUrCuWKr43RFl19Jpjy5b88DkrEfB%2Fzt10v5vGxhsGhjbQF%2F9e%2FTTWuIIlRlcEGholbCxxrVMIjOYsco%2FFSXB%2FSMY31q80m50O%2FbEk5fmcTNIC%2Fj0CbovmgXbN2oR%2BWdTixlmNMtSf%2FwmosIjQPGvc%2Fn0gafJMl%2FSaMTXNCub7%2BKbVOMDjUgNeqGH6aed95fuSXKL2smsvXo8GGb0sn%2BEDGMrqvJ2cRuZei2fHAF1vtf3cTYC%7Ctkp%3ABk9SR8qj5_XyYQ&amp;LH_BIN=1" TargetMode="External"/><Relationship Id="rId45" Type="http://schemas.openxmlformats.org/officeDocument/2006/relationships/hyperlink" Target="https://www.ebay.com/itm/145031047362?hash=item21c48628c2:g:Ge0AAOSwNWNkL~BO&amp;amdata=enc%3AAQAIAAAA4KASDNdVGoIpWmVzaYnmOEYOLWlaAxj13sSTlfames0K1mS1wTlId8wIsK7VlQR5j1hYsHA2b%2FxjdePBdyMAfKNx%2Bv4SHoAJMoYKTkDb3O%2FDnzf%2Fj6tuXRQZMMM1JhT1b2z%2BSsO850E3YvQWQbeoUvO11R%2FOYigxrFhW2rP%2Bm6oNPmSi9TM5iPPo6sQBT2mKTAEd9%2BUxJcj9qEelrKnQe32Ukr%2FfojyW7A%2FTkrNOPVeXDD6eLsqXHWm7UGT7xOKtQrYI3zr4nrmDPzaVOT2H%2B%2BMuBGe6%2BrhnCKW%2FDnYvPdFd%7Ctkp%3ABk9SR97J8_XyYQ" TargetMode="External"/><Relationship Id="rId5" Type="http://schemas.openxmlformats.org/officeDocument/2006/relationships/hyperlink" Target="https://www.ebay.com/itm/256116474437" TargetMode="External"/><Relationship Id="rId15" Type="http://schemas.openxmlformats.org/officeDocument/2006/relationships/hyperlink" Target="https://www.ebay.com/itm/266244636690" TargetMode="External"/><Relationship Id="rId23" Type="http://schemas.openxmlformats.org/officeDocument/2006/relationships/hyperlink" Target="https://www.ebay.com/itm/374670829283?epid=3058462025&amp;hash=item573c1f26e3:g:f0gAAOSwIN5kTQU-&amp;amdata=enc%3AAQAIAAAAwO3TxnCDJy2SZUJ6qo8o4sjKE8eSJzwcas%2FUsQyCJZQQ9LCif1PXgwKiRxbsVG4x78FFoiw1yIcrMiPIh3SWWpAIsqpZL6%2BF8nVSs2vz433VeE6bKxyzX%2B2L5NgeDn7H1qZM4o8PGEV%2FSfTSIE44E%2FfqMQk8GTCn6PUQYkyB0VfBo9riFXO8%2FEUnaX%2B6NgxRPcIvh9H4z%2BprcLJvNrluAzKdeP5s63e5yZvuypQlwNQo3GZKTI7sQA0JPCsuwx3phg%3D%3D%7Ctkp%3ABk9SR_7f86yAYg" TargetMode="External"/><Relationship Id="rId28" Type="http://schemas.openxmlformats.org/officeDocument/2006/relationships/hyperlink" Target="https://keepa.com/" TargetMode="External"/><Relationship Id="rId36" Type="http://schemas.openxmlformats.org/officeDocument/2006/relationships/hyperlink" Target="https://www.ebay.com/itm/166044108187?epid=19037184004&amp;hash=item26a900059b%3Ag%3AmSMAAOSwIgNkQiNA&amp;amdata=enc%3AAQAIAAAAsEqxv9v%2FoRLYwnuBa9ZcUus4JBmUieTThqW%2F9YE%2BP%2BRJV7h5x%2FY8iRl%2BmAVQ0OAVEFji8OlLXU6JwZapHLajvo1encMkQdJIr9kkiWhBn1jG7rElMKKu7SOzTJ%2BEz808Edf1mumXhCigkKbgKsj0uprqDAH7JCJ0OCDCdLcRS6dYajv%2Fhh6QM6AavFkebCg2s3wb74r2lqFVp8Lv%2BcEux76wnmc0NMiFzz9nmbhoeETe%7Ctkp%3ABk9SR4KHk4f4YQ&amp;LH_ItemCondition=3000%7C4000%7C5000%7C6000" TargetMode="External"/><Relationship Id="rId10" Type="http://schemas.openxmlformats.org/officeDocument/2006/relationships/hyperlink" Target="https://www.bestbuy.com/site/intel-arc-a750-limited-edition-8gb-gddr6-pci-express-4-0-graphics-card/6543537.p?acampID=0&amp;cmp=RMX&amp;irclickid=SGoVL-XP1xyNWI3z-q0mKwKiUkASmu2aVRIQS80&amp;irgwc=1&amp;loc=PCPartPicker&amp;mpid=79301&amp;ref=198&amp;refdomain=pcpartpicker.com&amp;skuId=6543537" TargetMode="External"/><Relationship Id="rId19" Type="http://schemas.openxmlformats.org/officeDocument/2006/relationships/hyperlink" Target="https://keepa.com/" TargetMode="External"/><Relationship Id="rId31" Type="http://schemas.openxmlformats.org/officeDocument/2006/relationships/hyperlink" Target="https://keepa.com/" TargetMode="External"/><Relationship Id="rId44" Type="http://schemas.openxmlformats.org/officeDocument/2006/relationships/hyperlink" Target="https://www.ebay.com/itm/394578700393?hash=item5bdeb92869:g:sesAAOSwwkZkPE8V&amp;amdata=enc%3AAQAIAAAAwFjUkLMlovubxJEulOR6h0I22s%2BSZ2kRR7iHHWaBpqMPtbYWZstgyXTPhuyIBrfz%2BygcCsPw8yrbFdvzqrxvzatJUrs0%2BdFKxaiLK3xOgBm4Gd3DhserawimL64h60sMbwKAZjIUGwcH2zwxEnxQ7vYn5xJeOoPVS2wOqoLtaP3ooNVeeMdqcnTsNtMJ6CkJdNWez7tZcuMQDDfRJAwiUKucd4vt1F%2FPjOPcHxlBZ0Td1QoY5A1rz%2BZTgVKHBQQQpQ%3D%3D%7Ctkp%3ABk9SR8KTzdz0YQ" TargetMode="External"/><Relationship Id="rId4" Type="http://schemas.openxmlformats.org/officeDocument/2006/relationships/hyperlink" Target="https://www.ebay.com/itm/266368783104?hash=item3e04d11300%3Ag%3Amk4AAOSwQ2VkzWZR&amp;amdata=enc%3AAQAIAAAAwO2bK14t9lg%2BhJmCnoPjY0aQavVihZJt%2FbFlUDk6sEnpqvYGoir%2FgWWDDKx0%2F%2FoCU4dFspyEFGzaHJb5SorBhj2Yj4N%2FAedpIbIvb7XxHuS466lRlThyhjRnV72MsG7qGiMw1mgsTdjfm8f2XLIf0OFkby81ohGeSManaZjv%2BSgDSlZI2BWJrHfG%2BE5a%2B3Gm0qzSUE867I1%2BhOTEjmPuhUUUdUP4VyBuD9pIBk%2FM2V8sIjik5RCbq6a2c3eSjDXxHw%3D%3D%7Ctkp%3ABk9SR_j5qay9Yg&amp;LH_BIN=1&amp;LH_ItemCondition=3000" TargetMode="External"/><Relationship Id="rId9" Type="http://schemas.openxmlformats.org/officeDocument/2006/relationships/hyperlink" Target="https://keepa.com/" TargetMode="External"/><Relationship Id="rId14" Type="http://schemas.openxmlformats.org/officeDocument/2006/relationships/hyperlink" Target="https://www.ebay.com/itm/385558743739?hash=item59c5178abb:g:38oAAOSwnChkQFQc&amp;amdata=enc%3AAQAIAAAAwM5L9oPjA%2FjWEo6ihTWz0aZi05P8h85DNBt%2FinOz%2BpeCsLbprdG6kjUfqsTmnCxGMHbGdPNmd%2FGwOzx8Z375rAR3VjRXiPPfaOMejc55u0QIejSWRlP7xpwE%2B3Xr%2BMCd8A6T8VHgUNQEkJuZtNVu5eCN%2Fp2uIoZvgP5v7ZVstC4eMwLR9hNDau8jsgbcQXisw2VOVN%2FSY1Crn7Sza2ilpAqWLph1%2BXcXL97EJ3nyICKiWTQJfcyNoaNFk9Mm7FQC%2Fw%3D%3D%7Ctkp%3ABk9SR9DI7YX0YQ" TargetMode="External"/><Relationship Id="rId22" Type="http://schemas.openxmlformats.org/officeDocument/2006/relationships/hyperlink" Target="https://keepa.com/" TargetMode="External"/><Relationship Id="rId27" Type="http://schemas.openxmlformats.org/officeDocument/2006/relationships/hyperlink" Target="https://www.ebay.com/itm/125888928292?epid=22047402156&amp;hash=item1d4f909a24:g:a9oAAOSw94xkPbiV&amp;amdata=enc%3AAQAIAAAA4E%2B0WQZcsoFFx8rtj6qgs5oZyGyRgESCTesOu7HIzAEmIBLEA8cuK%2FY7RjYvslOj0y%2FuGayWhISt1Ge0ZTbp8F1lb2k1jRWvi93ezA0Me8bWlcI7pZcoTDsDcp8eK9enDGizet%2FOAWO1dIg8j%2BifWgwEgiNhA5Cb03T7dHllHVMLlmLUJxKFcF93MbGmNp%2F7JvnOhfCcoSptoKwWRHrFgccmUzi5AjpzU1i9YFjZv%2FGMR103yhJ4J1yl7ATTNa5AYW5sE%2FeM%2FopR0C1v8Hf6s7UHK9huSAWIqq5PdwPlKe4m%7Ctkp%3ABk9SR4bpjfbyYQ" TargetMode="External"/><Relationship Id="rId30" Type="http://schemas.openxmlformats.org/officeDocument/2006/relationships/hyperlink" Target="https://www.ebay.com/itm/175660351803?epid=22059285100&amp;hash=item28e62c413b%3Ag%3A1DUAAOSwWQVkGpQ6&amp;amdata=enc%3AAQAIAAAA4DiwHlTTfDd8s%2Fh8Ujpb%2BPhJfPWvC6tcRVyP81m4QmoSr%2B8hS2RwDUIQoirCZ701cgz0Q7PqfmkE%2FRRGHahXLXE7M%2FG3%2FmLSZnzkGUInOPV4ZwX9zE%2FqZu3tkwPw21ZNj5UuSBxJ81o7RpK4Ha4iu%2F%2FNnwW29ZC%2FtnZAQgjtNjVYnt5IAk5u3wDG7hziQDaO8tsKjTtogCkBEaLXgPqaMcCcRFtKQ%2BdzaqMwE77OWWPgHbo8e8%2BwSPGLRVrNV6H%2FfiqLmHGIinvqP2cYSQpIv8SAV3FgKg6ZA1pB1sIj1QxC%7Ctkp%3ABk9SR7KAjffyYQ&amp;LH_Auction=1" TargetMode="External"/><Relationship Id="rId35" Type="http://schemas.openxmlformats.org/officeDocument/2006/relationships/hyperlink" Target="https://keepa.com/" TargetMode="External"/><Relationship Id="rId43" Type="http://schemas.openxmlformats.org/officeDocument/2006/relationships/hyperlink" Target="https://www.ebay.com/itm/266224108035?hash=item3dfc318203:g:UEcAAOSwTrNkPfH1&amp;amdata=enc%3AAQAIAAAA4Gjf%2BLMLVFs37aMibVnTTggBK4TplK%2FY0fNSNSwAEAD%2Fsx3xSE0GxKlLfzojj88XzUYGtgDERRXCAwDt8iWyNFeSXKA%2B33PMJP6JOqqWXPuk8fiUnrDj4mb%2BH20wH%2Bio5cFpNXdQByvXkhlzjQZIUKXkgWfjfXnK33JeFv%2BoF6N9UJTQuxohh2jS2GlWvfVyX5qJL%2F9%2BSoNKMbs9kMW9IxMWilsegxplGH%2FbpNFZN%2FTTfUCAY1YWmbIHxuEezAP%2BhEG4KNa0wATSxhWaNqFS%2FkhLbm0P%2FeB2wUXuibnaszGH%7Ctkp%3ABFBM6OXB5PJh" TargetMode="External"/><Relationship Id="rId8" Type="http://schemas.openxmlformats.org/officeDocument/2006/relationships/hyperlink" Target="https://keepa.com/" TargetMode="External"/><Relationship Id="rId3" Type="http://schemas.openxmlformats.org/officeDocument/2006/relationships/hyperlink" Target="https://www.ebay.com/itm/385550149516?epid=28036085193&amp;hash=item59c494678c:g:8OUAAOSwyqBkOzYa&amp;amdata=enc%3AAQAIAAAAwGOIfLK9v5uxDYnIcy2MQGJfJ6kIUqfcPW4UynIZqXNwuMEm%2BNe6DaE29InbhHZ5mwzqT1TN5r2LaSqloJTD%2F2SW5mRmAwfQ9UiynqcaB5q2GjL7iuVQMg5PWoq2YhjJquWQsjeblzfkrecbebTC7n61HC6LBGn7ZMNzPxCni0Z8I9Godm8gJ99CAk%2BJpcP6PQXQ0P1Ijpt65q%2FEgD2dYgk3bd7YOHEiF4zREYV%2F4%2BYTAYPWz%2FaZxPkYK1UgFNf5yA%3D%3D%7Ctkp%3ABk9SR7aGjNv0YQ" TargetMode="External"/><Relationship Id="rId12" Type="http://schemas.openxmlformats.org/officeDocument/2006/relationships/hyperlink" Target="https://www.ebay.com/itm/204318330231?epid=27042941808&amp;hash=item2f92524d77:g:Co0AAOSwbOJkSbVe&amp;amdata=enc%3AAQAIAAAA4CqT5zMIKHAv1qrAUKRcMq858bJYuSaqFEYdxsRDMdAZ5iqp8DNrbisiybynq6UtmZ6hb3RhveFFYY7C6x2CO%2B0mswgBrprYXYDXPFtYV5fdtL3PBbZf4dfZewE5IkoMYBwhjafF637Qd%2B62HWuGL318%2FoQOP6CI4GgOoY2P7S1%2B4YULCO%2BY0ovGU0rkckVj841lxhLTJNC6%2F0X3qemzBrcJHYLN5%2FF4sv1xEyEld62B7Uyfatsa1qPMb%2F7UhKVbLBp6LaYPEp8NC0ZBDGHVpUPn9zrOSFKlQ9taj4KLTRWw%7Ctkp%3ABk9SR_KM2cD4YQ" TargetMode="External"/><Relationship Id="rId17" Type="http://schemas.openxmlformats.org/officeDocument/2006/relationships/hyperlink" Target="https://www.ebay.com/itm/125887101600?epid=8059607000&amp;hash=item1d4f74baa0%3Ag%3AkcMAAOSwcQNkI2qD&amp;amdata=enc%3AAQAIAAAA4NPyH4GFPNw7XbslaL0lMofPZm0RoQ6E3ojSKXRVQjNFGz628imckKdUBi%2Bxdm1z3KFxMvGyCyck6wLOsD%2F5cPyo%2F01mFrhJXvIkpmjxiMOxoVU%2BY1%2BMqq4ALxUgNMo9FFg6iJ%2FV2bfOjCWuVdgeWqAiDPFxfbpan73IGtrdyaLuOkhB%2B0Z4yRAjpgbWGE8gAFxzru8WRLxRm48CKkUNTNRINJKVc5dKET8O65mvMR%2B97TIV%2B8NXn2ZmdhOipWdWQxTYE3lqfJQhPHGI9nxDIpHFIiRPraACizm3xkRnArH4%7Ctkp%3ABk9SR4SEg8D4YQ&amp;LH_ItemCondition=2500%7C3000%7C1500" TargetMode="External"/><Relationship Id="rId25" Type="http://schemas.openxmlformats.org/officeDocument/2006/relationships/hyperlink" Target="https://www.ebay.com/itm/204320162096?epid=21058158013&amp;hash=item2f926e4130:g:LlEAAOSwCBJkTAEa&amp;amdata=enc%3AAQAIAAAAwFaZkp8vcrJZMFa0vCYgkv%2BU%2B0eii%2FiB3GpNXSP1zRkNpYwHJLnndxHNJmwxkxX2s%2BjjO3yl2GcW2Z32bqwvYK43MK707OBvwvvJ174iHcvQEMYWWpfKlPZOXqcYEQ42wLSvPb2EsBuodn65mWm4TM8Xk1kV3rsT9I4SUwRE9H%2FTkeZDSQU%2FO42cE7Sd0mA%2FFLlpdTu3Y4cbXk83Xc2s6UxeNSvbFZems2rfgUqgX3cCB%2FFefkqtmPf0iksMQ5kqZQ%3D%3D%7Ctkp%3ABk9SR8TTkaz8YQ" TargetMode="External"/><Relationship Id="rId33" Type="http://schemas.openxmlformats.org/officeDocument/2006/relationships/hyperlink" Target="https://www.ebay.com/itm/204324463908?epid=7058466235&amp;hash=item2f92afe524%3Ag%3A4zoAAOSwuGlkUXX4&amp;amdata=enc%3AAQAIAAAAwLV7yh749Ig5sqF0as5iVdQnBBnzH2fr%2Fb3NXHZe%2FuhuTi4996oz6YNIzvMlqruS%2FzMc6l5kAMs%2B2enGj%2BxgLR0ezNZRo%2B4cQVCX%2FGRGrPc4UkY99B%2FNM3rZvOsFtNVQ4dm29xy%2B%2BuZ5Nb3bzdz8Lpon04FrP1iARypbz4OvAEgZS2zpSBEXYr7u1bo%2By7DAUO%2FSA2gf22j8q8zMqBob%2Blk0jllKyPA3pOTY8QO9vd5qC5xGodlHN99JgJYPrj6djQ%3D%3D%7Ctkp%3ABk9SR765yaqAYg&amp;LH_ItemCondition=4" TargetMode="External"/><Relationship Id="rId38" Type="http://schemas.openxmlformats.org/officeDocument/2006/relationships/hyperlink" Target="https://www.amazon.com/gp/product/B0BWBHQ2RN/ref=ox_sc_act_title_2?smid=AGMPRYJTZV22S&amp;psc=1" TargetMode="External"/><Relationship Id="rId46" Type="http://schemas.openxmlformats.org/officeDocument/2006/relationships/hyperlink" Target="https://www.ebay.com/itm/115772778130" TargetMode="External"/><Relationship Id="rId20" Type="http://schemas.openxmlformats.org/officeDocument/2006/relationships/hyperlink" Target="https://www.reddit.com/r/buildapcsales/comments/160m94o/gpu_xfx_speedster_merc319_rx_6950xt_black_52999/" TargetMode="External"/><Relationship Id="rId41" Type="http://schemas.openxmlformats.org/officeDocument/2006/relationships/hyperlink" Target="https://www.ebay.com/itm/115771127326?epid=13058450129&amp;hash=item1af47f361e:g:suQAAOSw9TZkOsaP&amp;amdata=enc%3AAQAIAAAAwK3uf99pQVRkbA0CvX%2FkGs3pIME34yCDsJCeMFtbjxZaSoDk7Ipj6CHEp%2Br%2BgNvOoJct4Wo%2FBHSB19tyuk5AP7onLsQh4CGWwhteFcq%2FGS0%2BeNyRvZk25fMJ0AzUvhPOS6%2FEw91msfLh7m1fewjvcTnf%2BHrv3a7ug7Q%2FRzWeoBFWSIkmiRX8feH9PbgjXN4aBxec%2BQoCzOV83aV7rTU5NJBSWA4BmVbwNFx3szE5EaktGViRKLl4uLqHBJz1Q3q8QA%3D%3D%7Ctkp%3ABk9SR7TZn4f0Y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A1028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S37" sqref="S37:U47"/>
    </sheetView>
  </sheetViews>
  <sheetFormatPr defaultColWidth="12.5703125" defaultRowHeight="15.75" customHeight="1" x14ac:dyDescent="0.2"/>
  <cols>
    <col min="1" max="1" width="25.42578125" customWidth="1"/>
    <col min="2" max="2" width="10.42578125" customWidth="1"/>
    <col min="3" max="3" width="25.7109375" hidden="1" customWidth="1"/>
    <col min="4" max="4" width="15.42578125" hidden="1" customWidth="1"/>
    <col min="5" max="5" width="11.140625" customWidth="1"/>
    <col min="6" max="6" width="10.85546875" customWidth="1"/>
    <col min="7" max="7" width="19.42578125" customWidth="1"/>
    <col min="8" max="8" width="23.140625" customWidth="1"/>
    <col min="9" max="9" width="27" customWidth="1"/>
    <col min="10" max="10" width="19.140625" customWidth="1"/>
    <col min="11" max="11" width="22.7109375" customWidth="1"/>
    <col min="12" max="12" width="26.5703125" customWidth="1"/>
    <col min="13" max="13" width="10.85546875" customWidth="1"/>
    <col min="14" max="14" width="20" customWidth="1"/>
    <col min="15" max="15" width="23.140625" customWidth="1"/>
    <col min="16" max="16" width="27" customWidth="1"/>
    <col min="17" max="17" width="20.28515625" hidden="1" customWidth="1"/>
    <col min="18" max="18" width="7.7109375" customWidth="1"/>
    <col min="19" max="19" width="16.42578125" customWidth="1"/>
    <col min="20" max="20" width="20" customWidth="1"/>
    <col min="21" max="21" width="23.85546875" customWidth="1"/>
    <col min="22" max="22" width="29.28515625" hidden="1" customWidth="1"/>
    <col min="23" max="23" width="11.140625" customWidth="1"/>
    <col min="24" max="24" width="13.7109375" customWidth="1"/>
    <col min="25" max="25" width="11.140625" customWidth="1"/>
    <col min="26" max="26" width="15.42578125" customWidth="1"/>
    <col min="27" max="27" width="34.28515625" hidden="1" customWidth="1"/>
    <col min="28" max="28" width="9.7109375" customWidth="1"/>
    <col min="29" max="29" width="13.85546875" customWidth="1"/>
    <col min="30" max="30" width="150.85546875" customWidth="1"/>
    <col min="31" max="31" width="518.85546875" customWidth="1"/>
  </cols>
  <sheetData>
    <row r="1" spans="1:53" ht="15.75" customHeight="1" x14ac:dyDescent="0.2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6" t="s">
        <v>9</v>
      </c>
      <c r="K1" s="6" t="s">
        <v>10</v>
      </c>
      <c r="L1" s="6" t="s">
        <v>11</v>
      </c>
      <c r="M1" s="5" t="s">
        <v>12</v>
      </c>
      <c r="N1" s="6" t="s">
        <v>13</v>
      </c>
      <c r="O1" s="6" t="s">
        <v>14</v>
      </c>
      <c r="P1" s="8" t="s">
        <v>15</v>
      </c>
      <c r="Q1" s="6" t="s">
        <v>16</v>
      </c>
      <c r="R1" s="5" t="s">
        <v>17</v>
      </c>
      <c r="S1" s="9" t="s">
        <v>18</v>
      </c>
      <c r="T1" s="6" t="s">
        <v>19</v>
      </c>
      <c r="U1" s="6" t="s">
        <v>20</v>
      </c>
      <c r="V1" s="7" t="s">
        <v>21</v>
      </c>
      <c r="W1" s="10" t="s">
        <v>22</v>
      </c>
      <c r="X1" s="7" t="s">
        <v>23</v>
      </c>
      <c r="Y1" s="11" t="s">
        <v>24</v>
      </c>
      <c r="Z1" s="12" t="s">
        <v>25</v>
      </c>
      <c r="AA1" s="7" t="s">
        <v>26</v>
      </c>
      <c r="AB1" s="10" t="s">
        <v>27</v>
      </c>
      <c r="AC1" s="7" t="s">
        <v>28</v>
      </c>
      <c r="AD1" s="7" t="s">
        <v>29</v>
      </c>
      <c r="AE1" s="7" t="s">
        <v>30</v>
      </c>
      <c r="AF1" s="3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</row>
    <row r="2" spans="1:53" ht="14.25" x14ac:dyDescent="0.2">
      <c r="A2" s="13" t="s">
        <v>31</v>
      </c>
      <c r="B2" s="114">
        <v>175</v>
      </c>
      <c r="C2" s="17"/>
      <c r="D2" s="17"/>
      <c r="E2" s="115">
        <v>0.99</v>
      </c>
      <c r="F2" s="16"/>
      <c r="G2" s="15">
        <v>82</v>
      </c>
      <c r="H2" s="15">
        <f t="shared" ref="H2:H48" si="0">B2/G2</f>
        <v>2.1341463414634148</v>
      </c>
      <c r="I2" s="13">
        <f t="shared" ref="I2:I48" si="1">X2/G2</f>
        <v>3.0487804878048781</v>
      </c>
      <c r="J2" s="15">
        <v>143</v>
      </c>
      <c r="K2" s="15">
        <f t="shared" ref="K2:K48" si="2">B2/J2</f>
        <v>1.2237762237762237</v>
      </c>
      <c r="L2" s="15">
        <f t="shared" ref="L2:L48" si="3">X2/J2</f>
        <v>1.7482517482517483</v>
      </c>
      <c r="M2" s="19"/>
      <c r="N2" s="17">
        <v>57</v>
      </c>
      <c r="O2" s="15">
        <f t="shared" ref="O2:O48" si="4">B2/N2</f>
        <v>3.0701754385964914</v>
      </c>
      <c r="P2" s="13">
        <f t="shared" ref="P2:P48" si="5">X2/N2</f>
        <v>4.3859649122807021</v>
      </c>
      <c r="Q2" s="15"/>
      <c r="R2" s="20"/>
      <c r="S2" s="21">
        <v>36</v>
      </c>
      <c r="T2" s="15">
        <f t="shared" ref="T2:T36" si="6">B2/S2</f>
        <v>4.8611111111111107</v>
      </c>
      <c r="U2" s="15">
        <f t="shared" ref="U2:U36" si="7">X2/S2</f>
        <v>6.9444444444444446</v>
      </c>
      <c r="V2" s="15"/>
      <c r="W2" s="20"/>
      <c r="X2" s="15">
        <v>250</v>
      </c>
      <c r="Y2" s="22">
        <v>12</v>
      </c>
      <c r="Z2" s="13" t="s">
        <v>32</v>
      </c>
      <c r="AA2" s="15"/>
      <c r="AB2" s="20"/>
      <c r="AC2" s="15" t="s">
        <v>33</v>
      </c>
      <c r="AD2" s="15" t="s">
        <v>34</v>
      </c>
      <c r="AE2" s="23" t="s">
        <v>35</v>
      </c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</row>
    <row r="3" spans="1:53" ht="14.25" x14ac:dyDescent="0.2">
      <c r="A3" s="13" t="s">
        <v>36</v>
      </c>
      <c r="B3" s="114">
        <v>145</v>
      </c>
      <c r="C3" s="17">
        <v>4</v>
      </c>
      <c r="D3" s="17">
        <v>21</v>
      </c>
      <c r="E3" s="116">
        <f t="shared" ref="E3:E8" si="8">ROUNDUP((C3/D3),2)</f>
        <v>0.2</v>
      </c>
      <c r="F3" s="16"/>
      <c r="G3" s="15">
        <v>73.7</v>
      </c>
      <c r="H3" s="15">
        <f t="shared" si="0"/>
        <v>1.9674355495251017</v>
      </c>
      <c r="I3" s="13">
        <f t="shared" si="1"/>
        <v>2.4423337856173677</v>
      </c>
      <c r="J3" s="15">
        <v>125.8</v>
      </c>
      <c r="K3" s="15">
        <f t="shared" si="2"/>
        <v>1.152623211446741</v>
      </c>
      <c r="L3" s="15">
        <f t="shared" si="3"/>
        <v>1.4308426073131957</v>
      </c>
      <c r="M3" s="19"/>
      <c r="N3" s="17">
        <v>53.3</v>
      </c>
      <c r="O3" s="15">
        <f t="shared" si="4"/>
        <v>2.7204502814258915</v>
      </c>
      <c r="P3" s="13">
        <f t="shared" si="5"/>
        <v>3.3771106941838651</v>
      </c>
      <c r="Q3" s="15"/>
      <c r="R3" s="20"/>
      <c r="S3" s="21">
        <v>29.3</v>
      </c>
      <c r="T3" s="15">
        <f t="shared" si="6"/>
        <v>4.9488054607508527</v>
      </c>
      <c r="U3" s="15">
        <f t="shared" si="7"/>
        <v>6.1433447098976108</v>
      </c>
      <c r="V3" s="15"/>
      <c r="W3" s="20"/>
      <c r="X3" s="15">
        <v>180</v>
      </c>
      <c r="Y3" s="22">
        <v>8</v>
      </c>
      <c r="Z3" s="18" t="s">
        <v>37</v>
      </c>
      <c r="AA3" s="15" t="s">
        <v>38</v>
      </c>
      <c r="AB3" s="20"/>
      <c r="AC3" s="15" t="s">
        <v>39</v>
      </c>
      <c r="AD3" s="15"/>
      <c r="AE3" s="23" t="s">
        <v>40</v>
      </c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</row>
    <row r="4" spans="1:53" ht="14.25" x14ac:dyDescent="0.2">
      <c r="A4" s="13" t="s">
        <v>41</v>
      </c>
      <c r="B4" s="114">
        <v>200</v>
      </c>
      <c r="C4" s="17">
        <v>4</v>
      </c>
      <c r="D4" s="17">
        <v>8</v>
      </c>
      <c r="E4" s="116">
        <f t="shared" si="8"/>
        <v>0.5</v>
      </c>
      <c r="F4" s="16"/>
      <c r="G4" s="15">
        <v>85</v>
      </c>
      <c r="H4" s="15">
        <f t="shared" si="0"/>
        <v>2.3529411764705883</v>
      </c>
      <c r="I4" s="13">
        <f t="shared" si="1"/>
        <v>2.9411764705882355</v>
      </c>
      <c r="J4" s="15">
        <v>138</v>
      </c>
      <c r="K4" s="15">
        <f t="shared" si="2"/>
        <v>1.4492753623188406</v>
      </c>
      <c r="L4" s="15">
        <f t="shared" si="3"/>
        <v>1.8115942028985508</v>
      </c>
      <c r="M4" s="19"/>
      <c r="N4" s="17">
        <v>65</v>
      </c>
      <c r="O4" s="15">
        <f t="shared" si="4"/>
        <v>3.0769230769230771</v>
      </c>
      <c r="P4" s="13">
        <f t="shared" si="5"/>
        <v>3.8461538461538463</v>
      </c>
      <c r="Q4" s="15"/>
      <c r="R4" s="20"/>
      <c r="S4" s="21">
        <v>36.5</v>
      </c>
      <c r="T4" s="15">
        <f t="shared" si="6"/>
        <v>5.4794520547945202</v>
      </c>
      <c r="U4" s="15">
        <f t="shared" si="7"/>
        <v>6.8493150684931505</v>
      </c>
      <c r="V4" s="15"/>
      <c r="W4" s="20"/>
      <c r="X4" s="15">
        <v>250</v>
      </c>
      <c r="Y4" s="22">
        <v>8</v>
      </c>
      <c r="Z4" s="18" t="s">
        <v>37</v>
      </c>
      <c r="AA4" s="24" t="s">
        <v>42</v>
      </c>
      <c r="AB4" s="20"/>
      <c r="AC4" s="15" t="s">
        <v>43</v>
      </c>
      <c r="AD4" s="15"/>
      <c r="AE4" s="23" t="s">
        <v>44</v>
      </c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</row>
    <row r="5" spans="1:53" ht="14.25" x14ac:dyDescent="0.2">
      <c r="A5" s="25" t="s">
        <v>45</v>
      </c>
      <c r="B5" s="26">
        <v>410</v>
      </c>
      <c r="C5" s="32">
        <v>2</v>
      </c>
      <c r="D5" s="32">
        <v>21</v>
      </c>
      <c r="E5" s="116">
        <f t="shared" si="8"/>
        <v>9.9999999999999992E-2</v>
      </c>
      <c r="F5" s="28"/>
      <c r="G5" s="95">
        <v>124</v>
      </c>
      <c r="H5" s="15">
        <f t="shared" si="0"/>
        <v>3.306451612903226</v>
      </c>
      <c r="I5" s="13">
        <f t="shared" si="1"/>
        <v>3.225806451612903</v>
      </c>
      <c r="J5" s="96">
        <v>171.9</v>
      </c>
      <c r="K5" s="15">
        <f t="shared" si="2"/>
        <v>2.3851076207097148</v>
      </c>
      <c r="L5" s="15">
        <f t="shared" si="3"/>
        <v>2.326934264107039</v>
      </c>
      <c r="M5" s="30"/>
      <c r="N5" s="31">
        <v>104.6</v>
      </c>
      <c r="O5" s="17">
        <f t="shared" si="4"/>
        <v>3.9196940726577441</v>
      </c>
      <c r="P5" s="29">
        <f t="shared" si="5"/>
        <v>3.8240917782026771</v>
      </c>
      <c r="Q5" s="32"/>
      <c r="R5" s="28"/>
      <c r="S5" s="33">
        <v>67.7</v>
      </c>
      <c r="T5" s="17">
        <f t="shared" si="6"/>
        <v>6.0561299852289512</v>
      </c>
      <c r="U5" s="17">
        <f t="shared" si="7"/>
        <v>5.9084194977843421</v>
      </c>
      <c r="V5" s="27"/>
      <c r="W5" s="28"/>
      <c r="X5" s="34">
        <v>400</v>
      </c>
      <c r="Y5" s="35">
        <v>12</v>
      </c>
      <c r="Z5" s="36" t="s">
        <v>46</v>
      </c>
      <c r="AA5" s="27"/>
      <c r="AB5" s="37"/>
      <c r="AC5" s="27" t="s">
        <v>47</v>
      </c>
      <c r="AD5" s="27"/>
      <c r="AE5" s="38" t="s">
        <v>48</v>
      </c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</row>
    <row r="6" spans="1:53" ht="14.25" x14ac:dyDescent="0.2">
      <c r="A6" s="39" t="s">
        <v>49</v>
      </c>
      <c r="B6" s="114">
        <v>385</v>
      </c>
      <c r="C6" s="17">
        <v>2</v>
      </c>
      <c r="D6" s="17">
        <v>40</v>
      </c>
      <c r="E6" s="116">
        <f t="shared" si="8"/>
        <v>0.05</v>
      </c>
      <c r="F6" s="16"/>
      <c r="G6" s="15">
        <v>121.1</v>
      </c>
      <c r="H6" s="15">
        <f t="shared" si="0"/>
        <v>3.1791907514450868</v>
      </c>
      <c r="I6" s="13">
        <f t="shared" si="1"/>
        <v>2.642444260941371</v>
      </c>
      <c r="J6" s="15">
        <v>172</v>
      </c>
      <c r="K6" s="15">
        <f t="shared" si="2"/>
        <v>2.2383720930232558</v>
      </c>
      <c r="L6" s="15">
        <f t="shared" si="3"/>
        <v>1.8604651162790697</v>
      </c>
      <c r="M6" s="30"/>
      <c r="N6" s="17">
        <v>99.1</v>
      </c>
      <c r="O6" s="17">
        <f t="shared" si="4"/>
        <v>3.8849646821392536</v>
      </c>
      <c r="P6" s="29">
        <f t="shared" si="5"/>
        <v>3.2290615539858729</v>
      </c>
      <c r="Q6" s="17"/>
      <c r="R6" s="16"/>
      <c r="S6" s="40">
        <v>63.3</v>
      </c>
      <c r="T6" s="17">
        <f t="shared" si="6"/>
        <v>6.0821484992101107</v>
      </c>
      <c r="U6" s="17">
        <f t="shared" si="7"/>
        <v>5.0552922590837284</v>
      </c>
      <c r="V6" s="15"/>
      <c r="W6" s="20"/>
      <c r="X6" s="13">
        <v>320</v>
      </c>
      <c r="Y6" s="15">
        <v>10</v>
      </c>
      <c r="Z6" s="13" t="s">
        <v>46</v>
      </c>
      <c r="AA6" s="15" t="s">
        <v>50</v>
      </c>
      <c r="AB6" s="20"/>
      <c r="AC6" s="15" t="s">
        <v>51</v>
      </c>
      <c r="AD6" s="15"/>
      <c r="AE6" s="41" t="s">
        <v>52</v>
      </c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</row>
    <row r="7" spans="1:53" ht="14.25" x14ac:dyDescent="0.2">
      <c r="A7" s="13" t="s">
        <v>53</v>
      </c>
      <c r="B7" s="114">
        <v>250</v>
      </c>
      <c r="C7" s="17">
        <v>1.01</v>
      </c>
      <c r="D7" s="17">
        <v>18</v>
      </c>
      <c r="E7" s="116">
        <f t="shared" si="8"/>
        <v>6.0000000000000005E-2</v>
      </c>
      <c r="F7" s="16"/>
      <c r="G7" s="15">
        <v>103.1</v>
      </c>
      <c r="H7" s="15">
        <f t="shared" si="0"/>
        <v>2.4248302618816684</v>
      </c>
      <c r="I7" s="13">
        <f t="shared" si="1"/>
        <v>2.2308438409311351</v>
      </c>
      <c r="J7" s="15">
        <v>168.7</v>
      </c>
      <c r="K7" s="15">
        <f t="shared" si="2"/>
        <v>1.4819205690574986</v>
      </c>
      <c r="L7" s="15">
        <f t="shared" si="3"/>
        <v>1.3633669235328987</v>
      </c>
      <c r="M7" s="19"/>
      <c r="N7" s="17">
        <v>74.7</v>
      </c>
      <c r="O7" s="15">
        <f t="shared" si="4"/>
        <v>3.3467202141900936</v>
      </c>
      <c r="P7" s="13">
        <f t="shared" si="5"/>
        <v>3.0789825970548863</v>
      </c>
      <c r="Q7" s="15"/>
      <c r="R7" s="20"/>
      <c r="S7" s="21">
        <v>40.6</v>
      </c>
      <c r="T7" s="15">
        <f t="shared" si="6"/>
        <v>6.1576354679802954</v>
      </c>
      <c r="U7" s="15">
        <f t="shared" si="7"/>
        <v>5.6650246305418719</v>
      </c>
      <c r="V7" s="15"/>
      <c r="W7" s="20"/>
      <c r="X7" s="15">
        <v>230</v>
      </c>
      <c r="Y7" s="22">
        <v>12</v>
      </c>
      <c r="Z7" s="13" t="s">
        <v>37</v>
      </c>
      <c r="AA7" s="15" t="s">
        <v>54</v>
      </c>
      <c r="AB7" s="20"/>
      <c r="AC7" s="15" t="s">
        <v>55</v>
      </c>
      <c r="AD7" s="15"/>
      <c r="AE7" s="23" t="s">
        <v>56</v>
      </c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</row>
    <row r="8" spans="1:53" ht="14.25" x14ac:dyDescent="0.2">
      <c r="A8" s="13" t="s">
        <v>57</v>
      </c>
      <c r="B8" s="114">
        <v>345</v>
      </c>
      <c r="C8" s="17">
        <v>4</v>
      </c>
      <c r="D8" s="17">
        <v>22</v>
      </c>
      <c r="E8" s="116">
        <f t="shared" si="8"/>
        <v>0.19</v>
      </c>
      <c r="F8" s="16"/>
      <c r="G8" s="15">
        <v>118</v>
      </c>
      <c r="H8" s="15">
        <f t="shared" si="0"/>
        <v>2.9237288135593222</v>
      </c>
      <c r="I8" s="13">
        <f t="shared" si="1"/>
        <v>2.1186440677966103</v>
      </c>
      <c r="J8" s="15">
        <v>176.1</v>
      </c>
      <c r="K8" s="15">
        <f t="shared" si="2"/>
        <v>1.959114139693356</v>
      </c>
      <c r="L8" s="15">
        <f t="shared" si="3"/>
        <v>1.4196479273140261</v>
      </c>
      <c r="M8" s="19"/>
      <c r="N8" s="17">
        <v>92.6</v>
      </c>
      <c r="O8" s="15">
        <f t="shared" si="4"/>
        <v>3.7257019438444927</v>
      </c>
      <c r="P8" s="13">
        <f t="shared" si="5"/>
        <v>2.6997840172786178</v>
      </c>
      <c r="Q8" s="15"/>
      <c r="R8" s="20"/>
      <c r="S8" s="21">
        <v>52.9</v>
      </c>
      <c r="T8" s="15">
        <f t="shared" si="6"/>
        <v>6.5217391304347831</v>
      </c>
      <c r="U8" s="15">
        <f t="shared" si="7"/>
        <v>4.7258979206049148</v>
      </c>
      <c r="V8" s="15"/>
      <c r="W8" s="20"/>
      <c r="X8" s="15">
        <v>250</v>
      </c>
      <c r="Y8" s="22">
        <v>16</v>
      </c>
      <c r="Z8" s="13" t="s">
        <v>37</v>
      </c>
      <c r="AA8" s="15" t="s">
        <v>54</v>
      </c>
      <c r="AB8" s="20"/>
      <c r="AC8" s="15" t="s">
        <v>58</v>
      </c>
      <c r="AD8" s="15"/>
      <c r="AE8" s="41" t="s">
        <v>59</v>
      </c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</row>
    <row r="9" spans="1:53" ht="14.25" x14ac:dyDescent="0.2">
      <c r="A9" s="39" t="s">
        <v>60</v>
      </c>
      <c r="B9" s="114">
        <v>446</v>
      </c>
      <c r="C9" s="17"/>
      <c r="D9" s="17"/>
      <c r="E9" s="117" t="s">
        <v>61</v>
      </c>
      <c r="F9" s="16"/>
      <c r="G9" s="15">
        <v>124</v>
      </c>
      <c r="H9" s="15">
        <f t="shared" si="0"/>
        <v>3.596774193548387</v>
      </c>
      <c r="I9" s="13">
        <f t="shared" si="1"/>
        <v>3.225806451612903</v>
      </c>
      <c r="J9" s="15">
        <v>171.9</v>
      </c>
      <c r="K9" s="15">
        <f t="shared" si="2"/>
        <v>2.5945317044793486</v>
      </c>
      <c r="L9" s="15">
        <f t="shared" si="3"/>
        <v>2.326934264107039</v>
      </c>
      <c r="M9" s="30"/>
      <c r="N9" s="17">
        <v>104.6</v>
      </c>
      <c r="O9" s="17">
        <f t="shared" si="4"/>
        <v>4.263862332695985</v>
      </c>
      <c r="P9" s="29">
        <f t="shared" si="5"/>
        <v>3.8240917782026771</v>
      </c>
      <c r="Q9" s="17"/>
      <c r="R9" s="16"/>
      <c r="S9" s="40">
        <v>67.7</v>
      </c>
      <c r="T9" s="17">
        <f t="shared" si="6"/>
        <v>6.5878877400295419</v>
      </c>
      <c r="U9" s="17">
        <f t="shared" si="7"/>
        <v>5.9084194977843421</v>
      </c>
      <c r="V9" s="15"/>
      <c r="W9" s="20"/>
      <c r="X9" s="15">
        <v>400</v>
      </c>
      <c r="Y9" s="22">
        <v>12</v>
      </c>
      <c r="Z9" s="13" t="s">
        <v>46</v>
      </c>
      <c r="AA9" s="41" t="s">
        <v>62</v>
      </c>
      <c r="AB9" s="20"/>
      <c r="AC9" s="15" t="s">
        <v>63</v>
      </c>
      <c r="AD9" s="15"/>
      <c r="AE9" s="23" t="s">
        <v>64</v>
      </c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</row>
    <row r="10" spans="1:53" ht="14.25" x14ac:dyDescent="0.2">
      <c r="A10" s="13" t="s">
        <v>65</v>
      </c>
      <c r="B10" s="114">
        <v>200</v>
      </c>
      <c r="C10" s="17"/>
      <c r="D10" s="17"/>
      <c r="E10" s="117" t="s">
        <v>61</v>
      </c>
      <c r="F10" s="16"/>
      <c r="G10" s="15">
        <v>68</v>
      </c>
      <c r="H10" s="15">
        <f t="shared" si="0"/>
        <v>2.9411764705882355</v>
      </c>
      <c r="I10" s="13">
        <f t="shared" si="1"/>
        <v>3.3088235294117645</v>
      </c>
      <c r="J10" s="15">
        <v>106.6</v>
      </c>
      <c r="K10" s="15">
        <f t="shared" si="2"/>
        <v>1.876172607879925</v>
      </c>
      <c r="L10" s="15">
        <f t="shared" si="3"/>
        <v>2.1106941838649158</v>
      </c>
      <c r="M10" s="19"/>
      <c r="N10" s="17">
        <v>52.2</v>
      </c>
      <c r="O10" s="15">
        <f t="shared" si="4"/>
        <v>3.8314176245210727</v>
      </c>
      <c r="P10" s="13">
        <f t="shared" si="5"/>
        <v>4.3103448275862064</v>
      </c>
      <c r="Q10" s="15"/>
      <c r="R10" s="20"/>
      <c r="S10" s="21">
        <v>30.2</v>
      </c>
      <c r="T10" s="15">
        <f t="shared" si="6"/>
        <v>6.6225165562913908</v>
      </c>
      <c r="U10" s="15">
        <f t="shared" si="7"/>
        <v>7.4503311258278151</v>
      </c>
      <c r="V10" s="15"/>
      <c r="W10" s="20"/>
      <c r="X10" s="15">
        <v>225</v>
      </c>
      <c r="Y10" s="22">
        <v>8</v>
      </c>
      <c r="Z10" s="13" t="s">
        <v>37</v>
      </c>
      <c r="AA10" s="15"/>
      <c r="AB10" s="20"/>
      <c r="AC10" s="15" t="s">
        <v>66</v>
      </c>
      <c r="AD10" s="15"/>
      <c r="AE10" s="23" t="s">
        <v>67</v>
      </c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</row>
    <row r="11" spans="1:53" ht="14.25" x14ac:dyDescent="0.2">
      <c r="A11" s="36" t="s">
        <v>68</v>
      </c>
      <c r="B11" s="42">
        <v>352</v>
      </c>
      <c r="C11" s="32">
        <v>4</v>
      </c>
      <c r="D11" s="32">
        <v>22</v>
      </c>
      <c r="E11" s="117" t="s">
        <v>61</v>
      </c>
      <c r="F11" s="43"/>
      <c r="G11" s="97">
        <v>118</v>
      </c>
      <c r="H11" s="15">
        <f t="shared" si="0"/>
        <v>2.9830508474576272</v>
      </c>
      <c r="I11" s="13">
        <f t="shared" si="1"/>
        <v>2.1186440677966103</v>
      </c>
      <c r="J11" s="98">
        <v>176.1</v>
      </c>
      <c r="K11" s="15">
        <f t="shared" si="2"/>
        <v>1.9988642816581488</v>
      </c>
      <c r="L11" s="99">
        <f t="shared" si="3"/>
        <v>1.4196479273140261</v>
      </c>
      <c r="M11" s="43"/>
      <c r="N11" s="44">
        <v>92.6</v>
      </c>
      <c r="O11" s="15">
        <f t="shared" si="4"/>
        <v>3.8012958963282939</v>
      </c>
      <c r="P11" s="13">
        <f t="shared" si="5"/>
        <v>2.6997840172786178</v>
      </c>
      <c r="Q11" s="45"/>
      <c r="R11" s="43"/>
      <c r="S11" s="46">
        <v>52.9</v>
      </c>
      <c r="T11" s="15">
        <f t="shared" si="6"/>
        <v>6.6540642722117207</v>
      </c>
      <c r="U11" s="15">
        <f t="shared" si="7"/>
        <v>4.7258979206049148</v>
      </c>
      <c r="V11" s="45"/>
      <c r="W11" s="43"/>
      <c r="X11" s="47">
        <v>250</v>
      </c>
      <c r="Y11" s="48">
        <v>16</v>
      </c>
      <c r="Z11" s="36" t="s">
        <v>37</v>
      </c>
      <c r="AA11" s="45" t="s">
        <v>54</v>
      </c>
      <c r="AB11" s="43"/>
      <c r="AC11" s="27" t="s">
        <v>63</v>
      </c>
      <c r="AD11" s="27"/>
      <c r="AE11" s="49" t="s">
        <v>69</v>
      </c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</row>
    <row r="12" spans="1:53" ht="14.25" x14ac:dyDescent="0.2">
      <c r="A12" s="13" t="s">
        <v>70</v>
      </c>
      <c r="B12" s="114">
        <v>410</v>
      </c>
      <c r="C12" s="17">
        <v>1.25</v>
      </c>
      <c r="D12" s="17">
        <v>9</v>
      </c>
      <c r="E12" s="116">
        <f>ROUNDUP((C12/D12),2)</f>
        <v>0.14000000000000001</v>
      </c>
      <c r="F12" s="16"/>
      <c r="G12" s="15">
        <v>128.1</v>
      </c>
      <c r="H12" s="15">
        <f t="shared" si="0"/>
        <v>3.2006245120999219</v>
      </c>
      <c r="I12" s="13">
        <f t="shared" si="1"/>
        <v>2.3419203747072599</v>
      </c>
      <c r="J12" s="15">
        <v>179.9</v>
      </c>
      <c r="K12" s="15">
        <f t="shared" si="2"/>
        <v>2.2790439132851583</v>
      </c>
      <c r="L12" s="15">
        <f t="shared" si="3"/>
        <v>1.6675931072818231</v>
      </c>
      <c r="M12" s="30"/>
      <c r="N12" s="17">
        <v>104</v>
      </c>
      <c r="O12" s="17">
        <f t="shared" si="4"/>
        <v>3.9423076923076925</v>
      </c>
      <c r="P12" s="29">
        <f t="shared" si="5"/>
        <v>2.8846153846153846</v>
      </c>
      <c r="Q12" s="17"/>
      <c r="R12" s="16"/>
      <c r="S12" s="40">
        <v>61</v>
      </c>
      <c r="T12" s="17">
        <f t="shared" si="6"/>
        <v>6.721311475409836</v>
      </c>
      <c r="U12" s="17">
        <f t="shared" si="7"/>
        <v>4.918032786885246</v>
      </c>
      <c r="V12" s="15"/>
      <c r="W12" s="20"/>
      <c r="X12" s="15">
        <v>300</v>
      </c>
      <c r="Y12" s="22">
        <v>16</v>
      </c>
      <c r="Z12" s="13" t="s">
        <v>37</v>
      </c>
      <c r="AA12" s="15" t="s">
        <v>54</v>
      </c>
      <c r="AB12" s="20"/>
      <c r="AC12" s="15" t="s">
        <v>55</v>
      </c>
      <c r="AD12" s="15"/>
      <c r="AE12" s="23" t="s">
        <v>71</v>
      </c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</row>
    <row r="13" spans="1:53" ht="14.25" x14ac:dyDescent="0.2">
      <c r="A13" s="36" t="s">
        <v>72</v>
      </c>
      <c r="B13" s="50">
        <v>410</v>
      </c>
      <c r="C13" s="32">
        <v>1.25</v>
      </c>
      <c r="D13" s="32">
        <v>9</v>
      </c>
      <c r="E13" s="117" t="s">
        <v>61</v>
      </c>
      <c r="F13" s="43"/>
      <c r="G13" s="100">
        <v>128.1</v>
      </c>
      <c r="H13" s="15">
        <f t="shared" si="0"/>
        <v>3.2006245120999219</v>
      </c>
      <c r="I13" s="13">
        <f t="shared" si="1"/>
        <v>2.3419203747072599</v>
      </c>
      <c r="J13" s="101">
        <v>179.9</v>
      </c>
      <c r="K13" s="15">
        <f t="shared" si="2"/>
        <v>2.2790439132851583</v>
      </c>
      <c r="L13" s="102">
        <f t="shared" si="3"/>
        <v>1.6675931072818231</v>
      </c>
      <c r="M13" s="51"/>
      <c r="N13" s="52">
        <v>104</v>
      </c>
      <c r="O13" s="17">
        <f t="shared" si="4"/>
        <v>3.9423076923076925</v>
      </c>
      <c r="P13" s="29">
        <f t="shared" si="5"/>
        <v>2.8846153846153846</v>
      </c>
      <c r="Q13" s="53"/>
      <c r="R13" s="51"/>
      <c r="S13" s="46">
        <v>61</v>
      </c>
      <c r="T13" s="17">
        <f t="shared" si="6"/>
        <v>6.721311475409836</v>
      </c>
      <c r="U13" s="17">
        <f t="shared" si="7"/>
        <v>4.918032786885246</v>
      </c>
      <c r="V13" s="45"/>
      <c r="W13" s="43"/>
      <c r="X13" s="54">
        <v>300</v>
      </c>
      <c r="Y13" s="55">
        <v>16</v>
      </c>
      <c r="Z13" s="36" t="s">
        <v>37</v>
      </c>
      <c r="AA13" s="45" t="s">
        <v>54</v>
      </c>
      <c r="AB13" s="43"/>
      <c r="AC13" s="27" t="s">
        <v>63</v>
      </c>
      <c r="AD13" s="27"/>
      <c r="AE13" s="49" t="s">
        <v>73</v>
      </c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</row>
    <row r="14" spans="1:53" ht="14.25" x14ac:dyDescent="0.2">
      <c r="A14" s="13" t="s">
        <v>74</v>
      </c>
      <c r="B14" s="114">
        <v>295</v>
      </c>
      <c r="C14" s="17">
        <v>3</v>
      </c>
      <c r="D14" s="17">
        <v>63</v>
      </c>
      <c r="E14" s="116">
        <f t="shared" ref="E14:E16" si="9">ROUNDUP((C14/D14),2)</f>
        <v>0.05</v>
      </c>
      <c r="F14" s="16"/>
      <c r="G14" s="15">
        <v>99.6</v>
      </c>
      <c r="H14" s="15">
        <f t="shared" si="0"/>
        <v>2.9618473895582329</v>
      </c>
      <c r="I14" s="13">
        <f t="shared" si="1"/>
        <v>2.2088353413654618</v>
      </c>
      <c r="J14" s="15">
        <v>156.1</v>
      </c>
      <c r="K14" s="15">
        <f t="shared" si="2"/>
        <v>1.8898142216527867</v>
      </c>
      <c r="L14" s="15">
        <f t="shared" si="3"/>
        <v>1.4093529788597055</v>
      </c>
      <c r="M14" s="19"/>
      <c r="N14" s="17">
        <v>77.5</v>
      </c>
      <c r="O14" s="15">
        <f t="shared" si="4"/>
        <v>3.806451612903226</v>
      </c>
      <c r="P14" s="13">
        <f t="shared" si="5"/>
        <v>2.838709677419355</v>
      </c>
      <c r="Q14" s="15"/>
      <c r="R14" s="20"/>
      <c r="S14" s="21">
        <v>43.3</v>
      </c>
      <c r="T14" s="15">
        <f t="shared" si="6"/>
        <v>6.8129330254041571</v>
      </c>
      <c r="U14" s="15">
        <f t="shared" si="7"/>
        <v>5.0808314087759818</v>
      </c>
      <c r="V14" s="15"/>
      <c r="W14" s="20"/>
      <c r="X14" s="15">
        <v>220</v>
      </c>
      <c r="Y14" s="22">
        <v>8</v>
      </c>
      <c r="Z14" s="18" t="s">
        <v>37</v>
      </c>
      <c r="AA14" s="15" t="s">
        <v>50</v>
      </c>
      <c r="AB14" s="20"/>
      <c r="AC14" s="15" t="s">
        <v>58</v>
      </c>
      <c r="AD14" s="15"/>
      <c r="AE14" s="41" t="s">
        <v>75</v>
      </c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</row>
    <row r="15" spans="1:53" ht="14.25" x14ac:dyDescent="0.2">
      <c r="A15" s="39" t="s">
        <v>76</v>
      </c>
      <c r="B15" s="114">
        <v>475</v>
      </c>
      <c r="C15" s="17">
        <v>1</v>
      </c>
      <c r="D15" s="17">
        <v>25</v>
      </c>
      <c r="E15" s="116">
        <f t="shared" si="9"/>
        <v>0.04</v>
      </c>
      <c r="F15" s="16"/>
      <c r="G15" s="15">
        <v>125.3</v>
      </c>
      <c r="H15" s="15">
        <f t="shared" si="0"/>
        <v>3.7909018355945729</v>
      </c>
      <c r="I15" s="13">
        <f t="shared" si="1"/>
        <v>2.7932960893854748</v>
      </c>
      <c r="J15" s="15">
        <v>173.6</v>
      </c>
      <c r="K15" s="15">
        <f t="shared" si="2"/>
        <v>2.7361751152073732</v>
      </c>
      <c r="L15" s="15">
        <f t="shared" si="3"/>
        <v>2.0161290322580645</v>
      </c>
      <c r="M15" s="30"/>
      <c r="N15" s="17">
        <v>105.6</v>
      </c>
      <c r="O15" s="17">
        <f t="shared" si="4"/>
        <v>4.4981060606060606</v>
      </c>
      <c r="P15" s="29">
        <f t="shared" si="5"/>
        <v>3.3143939393939394</v>
      </c>
      <c r="Q15" s="17"/>
      <c r="R15" s="16"/>
      <c r="S15" s="40">
        <v>69.099999999999994</v>
      </c>
      <c r="T15" s="17">
        <f t="shared" si="6"/>
        <v>6.8740955137481912</v>
      </c>
      <c r="U15" s="17">
        <f t="shared" si="7"/>
        <v>5.0651230101302467</v>
      </c>
      <c r="V15" s="15"/>
      <c r="W15" s="20"/>
      <c r="X15" s="15">
        <v>350</v>
      </c>
      <c r="Y15" s="22">
        <v>12</v>
      </c>
      <c r="Z15" s="13" t="s">
        <v>46</v>
      </c>
      <c r="AA15" s="15"/>
      <c r="AB15" s="20"/>
      <c r="AC15" s="15" t="s">
        <v>77</v>
      </c>
      <c r="AD15" s="15"/>
      <c r="AE15" s="23" t="s">
        <v>78</v>
      </c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:53" ht="14.25" x14ac:dyDescent="0.2">
      <c r="A16" s="13" t="s">
        <v>79</v>
      </c>
      <c r="B16" s="114">
        <v>450</v>
      </c>
      <c r="C16" s="17">
        <v>1.25</v>
      </c>
      <c r="D16" s="17">
        <v>7</v>
      </c>
      <c r="E16" s="116">
        <f t="shared" si="9"/>
        <v>0.18000000000000002</v>
      </c>
      <c r="F16" s="16"/>
      <c r="G16" s="15">
        <v>132.9</v>
      </c>
      <c r="H16" s="15">
        <f t="shared" si="0"/>
        <v>3.386004514672686</v>
      </c>
      <c r="I16" s="13">
        <f t="shared" si="1"/>
        <v>2.2573363431151239</v>
      </c>
      <c r="J16" s="15">
        <v>182.2</v>
      </c>
      <c r="K16" s="15">
        <f t="shared" si="2"/>
        <v>2.4698133918770582</v>
      </c>
      <c r="L16" s="102">
        <f t="shared" si="3"/>
        <v>1.6465422612513723</v>
      </c>
      <c r="M16" s="30"/>
      <c r="N16" s="17">
        <v>109.5</v>
      </c>
      <c r="O16" s="17">
        <f t="shared" si="4"/>
        <v>4.1095890410958908</v>
      </c>
      <c r="P16" s="29">
        <f t="shared" si="5"/>
        <v>2.7397260273972601</v>
      </c>
      <c r="Q16" s="17"/>
      <c r="R16" s="16"/>
      <c r="S16" s="40">
        <v>64.599999999999994</v>
      </c>
      <c r="T16" s="17">
        <f t="shared" si="6"/>
        <v>6.9659442724458209</v>
      </c>
      <c r="U16" s="17">
        <f t="shared" si="7"/>
        <v>4.643962848297214</v>
      </c>
      <c r="V16" s="15"/>
      <c r="W16" s="20"/>
      <c r="X16" s="15">
        <v>300</v>
      </c>
      <c r="Y16" s="22">
        <v>16</v>
      </c>
      <c r="Z16" s="13" t="s">
        <v>37</v>
      </c>
      <c r="AA16" s="15" t="s">
        <v>54</v>
      </c>
      <c r="AB16" s="20"/>
      <c r="AC16" s="15" t="s">
        <v>58</v>
      </c>
      <c r="AD16" s="15"/>
      <c r="AE16" s="23" t="s">
        <v>80</v>
      </c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</row>
    <row r="17" spans="1:53" ht="14.25" x14ac:dyDescent="0.2">
      <c r="A17" s="13" t="s">
        <v>81</v>
      </c>
      <c r="B17" s="114">
        <v>235</v>
      </c>
      <c r="C17" s="17"/>
      <c r="D17" s="17"/>
      <c r="E17" s="116">
        <v>0.99</v>
      </c>
      <c r="F17" s="16"/>
      <c r="G17" s="15">
        <v>88.3</v>
      </c>
      <c r="H17" s="15">
        <f t="shared" si="0"/>
        <v>2.6613816534541339</v>
      </c>
      <c r="I17" s="13">
        <f t="shared" si="1"/>
        <v>1.9818799546998869</v>
      </c>
      <c r="J17" s="15">
        <v>151.6</v>
      </c>
      <c r="K17" s="15">
        <f t="shared" si="2"/>
        <v>1.5501319261213722</v>
      </c>
      <c r="L17" s="15">
        <f t="shared" si="3"/>
        <v>1.1543535620052772</v>
      </c>
      <c r="M17" s="19"/>
      <c r="N17" s="17">
        <v>63.5</v>
      </c>
      <c r="O17" s="15">
        <f t="shared" si="4"/>
        <v>3.7007874015748032</v>
      </c>
      <c r="P17" s="13">
        <f t="shared" si="5"/>
        <v>2.7559055118110236</v>
      </c>
      <c r="Q17" s="40"/>
      <c r="R17" s="16"/>
      <c r="S17" s="40">
        <v>33.299999999999997</v>
      </c>
      <c r="T17" s="15">
        <f t="shared" si="6"/>
        <v>7.0570570570570581</v>
      </c>
      <c r="U17" s="15">
        <f t="shared" si="7"/>
        <v>5.2552552552552561</v>
      </c>
      <c r="V17" s="15"/>
      <c r="W17" s="20"/>
      <c r="X17" s="15">
        <v>175</v>
      </c>
      <c r="Y17" s="22">
        <v>10</v>
      </c>
      <c r="Z17" s="13" t="s">
        <v>37</v>
      </c>
      <c r="AA17" s="15"/>
      <c r="AB17" s="20"/>
      <c r="AC17" s="15" t="s">
        <v>55</v>
      </c>
      <c r="AD17" s="15"/>
      <c r="AE17" s="23" t="s">
        <v>82</v>
      </c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</row>
    <row r="18" spans="1:53" ht="14.25" x14ac:dyDescent="0.2">
      <c r="A18" s="13" t="s">
        <v>83</v>
      </c>
      <c r="B18" s="114">
        <v>310</v>
      </c>
      <c r="C18" s="17">
        <v>1.17</v>
      </c>
      <c r="D18" s="17">
        <v>4</v>
      </c>
      <c r="E18" s="116">
        <f>ROUNDUP((C18/D18),2)</f>
        <v>0.3</v>
      </c>
      <c r="F18" s="16"/>
      <c r="G18" s="15">
        <v>106.5</v>
      </c>
      <c r="H18" s="15">
        <f t="shared" si="0"/>
        <v>2.9107981220657275</v>
      </c>
      <c r="I18" s="13">
        <f t="shared" si="1"/>
        <v>2.347417840375587</v>
      </c>
      <c r="J18" s="15">
        <v>172.3</v>
      </c>
      <c r="K18" s="15">
        <f t="shared" si="2"/>
        <v>1.799187463726059</v>
      </c>
      <c r="L18" s="15">
        <f t="shared" si="3"/>
        <v>1.4509576320371445</v>
      </c>
      <c r="M18" s="19"/>
      <c r="N18" s="17">
        <v>79</v>
      </c>
      <c r="O18" s="15">
        <f t="shared" si="4"/>
        <v>3.9240506329113924</v>
      </c>
      <c r="P18" s="13">
        <f t="shared" si="5"/>
        <v>3.1645569620253164</v>
      </c>
      <c r="Q18" s="15"/>
      <c r="R18" s="20"/>
      <c r="S18" s="21">
        <v>43.1</v>
      </c>
      <c r="T18" s="15">
        <f t="shared" si="6"/>
        <v>7.192575406032482</v>
      </c>
      <c r="U18" s="15">
        <f t="shared" si="7"/>
        <v>5.8004640371229694</v>
      </c>
      <c r="V18" s="15"/>
      <c r="W18" s="20"/>
      <c r="X18" s="15">
        <v>250</v>
      </c>
      <c r="Y18" s="22">
        <v>12</v>
      </c>
      <c r="Z18" s="13" t="s">
        <v>37</v>
      </c>
      <c r="AA18" s="15" t="s">
        <v>54</v>
      </c>
      <c r="AB18" s="20"/>
      <c r="AC18" s="15" t="s">
        <v>58</v>
      </c>
      <c r="AD18" s="15"/>
      <c r="AE18" s="41" t="s">
        <v>84</v>
      </c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</row>
    <row r="19" spans="1:53" ht="14.25" x14ac:dyDescent="0.2">
      <c r="A19" s="56" t="s">
        <v>85</v>
      </c>
      <c r="B19" s="57">
        <v>500</v>
      </c>
      <c r="C19" s="32">
        <v>2</v>
      </c>
      <c r="D19" s="32">
        <v>4</v>
      </c>
      <c r="E19" s="117" t="s">
        <v>61</v>
      </c>
      <c r="F19" s="43"/>
      <c r="G19" s="103">
        <v>137</v>
      </c>
      <c r="H19" s="15">
        <f t="shared" si="0"/>
        <v>3.6496350364963503</v>
      </c>
      <c r="I19" s="13">
        <f t="shared" si="1"/>
        <v>2.4452554744525545</v>
      </c>
      <c r="J19" s="104">
        <v>186.9</v>
      </c>
      <c r="K19" s="15">
        <f t="shared" si="2"/>
        <v>2.6752273943285179</v>
      </c>
      <c r="L19" s="15">
        <f t="shared" si="3"/>
        <v>1.7924023542001069</v>
      </c>
      <c r="M19" s="51"/>
      <c r="N19" s="58">
        <v>115.2</v>
      </c>
      <c r="O19" s="17">
        <f t="shared" si="4"/>
        <v>4.3402777777777777</v>
      </c>
      <c r="P19" s="29">
        <f t="shared" si="5"/>
        <v>2.9079861111111112</v>
      </c>
      <c r="Q19" s="32"/>
      <c r="R19" s="51"/>
      <c r="S19" s="46">
        <v>68.5</v>
      </c>
      <c r="T19" s="17">
        <f t="shared" si="6"/>
        <v>7.2992700729927007</v>
      </c>
      <c r="U19" s="17">
        <f t="shared" si="7"/>
        <v>4.8905109489051091</v>
      </c>
      <c r="V19" s="27"/>
      <c r="W19" s="43"/>
      <c r="X19" s="59">
        <v>335</v>
      </c>
      <c r="Y19" s="55">
        <v>16</v>
      </c>
      <c r="Z19" s="36" t="s">
        <v>37</v>
      </c>
      <c r="AA19" s="27" t="s">
        <v>54</v>
      </c>
      <c r="AB19" s="43"/>
      <c r="AC19" s="27" t="s">
        <v>86</v>
      </c>
      <c r="AD19" s="27"/>
      <c r="AE19" s="60" t="s">
        <v>87</v>
      </c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</row>
    <row r="20" spans="1:53" ht="14.25" x14ac:dyDescent="0.2">
      <c r="A20" s="36" t="s">
        <v>88</v>
      </c>
      <c r="B20" s="61">
        <v>530</v>
      </c>
      <c r="C20" s="32" t="s">
        <v>61</v>
      </c>
      <c r="D20" s="32" t="s">
        <v>61</v>
      </c>
      <c r="E20" s="118" t="s">
        <v>61</v>
      </c>
      <c r="F20" s="43"/>
      <c r="G20" s="105">
        <v>137</v>
      </c>
      <c r="H20" s="15">
        <f t="shared" si="0"/>
        <v>3.8686131386861313</v>
      </c>
      <c r="I20" s="13">
        <f t="shared" si="1"/>
        <v>2.4452554744525545</v>
      </c>
      <c r="J20" s="106">
        <v>186.9</v>
      </c>
      <c r="K20" s="15">
        <f t="shared" si="2"/>
        <v>2.8357410379882291</v>
      </c>
      <c r="L20" s="102">
        <f t="shared" si="3"/>
        <v>1.7924023542001069</v>
      </c>
      <c r="M20" s="51"/>
      <c r="N20" s="62">
        <v>115.2</v>
      </c>
      <c r="O20" s="63">
        <f t="shared" si="4"/>
        <v>4.6006944444444446</v>
      </c>
      <c r="P20" s="64">
        <f t="shared" si="5"/>
        <v>2.9079861111111112</v>
      </c>
      <c r="Q20" s="32"/>
      <c r="R20" s="51"/>
      <c r="S20" s="33">
        <v>68.5</v>
      </c>
      <c r="T20" s="65">
        <f t="shared" si="6"/>
        <v>7.7372262773722627</v>
      </c>
      <c r="U20" s="66">
        <f t="shared" si="7"/>
        <v>4.8905109489051091</v>
      </c>
      <c r="V20" s="27"/>
      <c r="W20" s="43"/>
      <c r="X20" s="67">
        <v>335</v>
      </c>
      <c r="Y20" s="55">
        <v>16</v>
      </c>
      <c r="Z20" s="36" t="s">
        <v>37</v>
      </c>
      <c r="AA20" s="27" t="s">
        <v>54</v>
      </c>
      <c r="AB20" s="43"/>
      <c r="AC20" s="27" t="s">
        <v>89</v>
      </c>
      <c r="AD20" s="27" t="s">
        <v>90</v>
      </c>
      <c r="AE20" s="68" t="s">
        <v>91</v>
      </c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</row>
    <row r="21" spans="1:53" ht="14.25" x14ac:dyDescent="0.2">
      <c r="A21" s="69" t="s">
        <v>92</v>
      </c>
      <c r="B21" s="70">
        <v>502</v>
      </c>
      <c r="C21" s="32"/>
      <c r="D21" s="32"/>
      <c r="E21" s="29" t="s">
        <v>61</v>
      </c>
      <c r="F21" s="16"/>
      <c r="G21" s="27">
        <v>135.80000000000001</v>
      </c>
      <c r="H21" s="15">
        <f t="shared" si="0"/>
        <v>3.6966126656848304</v>
      </c>
      <c r="I21" s="13">
        <f t="shared" si="1"/>
        <v>1.9145802650957289</v>
      </c>
      <c r="J21" s="27">
        <v>184.3</v>
      </c>
      <c r="K21" s="15">
        <f t="shared" si="2"/>
        <v>2.7238198589256646</v>
      </c>
      <c r="L21" s="15">
        <f t="shared" si="3"/>
        <v>1.4107433532284319</v>
      </c>
      <c r="M21" s="30"/>
      <c r="N21" s="32">
        <v>113.9</v>
      </c>
      <c r="O21" s="17">
        <f t="shared" si="4"/>
        <v>4.4073748902546095</v>
      </c>
      <c r="P21" s="29">
        <f t="shared" si="5"/>
        <v>2.2827041264266899</v>
      </c>
      <c r="Q21" s="53"/>
      <c r="R21" s="16"/>
      <c r="S21" s="46">
        <v>69.3</v>
      </c>
      <c r="T21" s="17">
        <f t="shared" si="6"/>
        <v>7.2438672438672445</v>
      </c>
      <c r="U21" s="17">
        <f t="shared" si="7"/>
        <v>3.7518037518037519</v>
      </c>
      <c r="V21" s="45"/>
      <c r="W21" s="20"/>
      <c r="X21" s="32">
        <v>260</v>
      </c>
      <c r="Y21" s="71">
        <v>16</v>
      </c>
      <c r="Z21" s="36" t="s">
        <v>37</v>
      </c>
      <c r="AA21" s="45"/>
      <c r="AB21" s="20"/>
      <c r="AC21" s="27" t="s">
        <v>93</v>
      </c>
      <c r="AD21" s="27"/>
      <c r="AE21" s="72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</row>
    <row r="22" spans="1:53" ht="14.25" x14ac:dyDescent="0.2">
      <c r="A22" s="69" t="s">
        <v>94</v>
      </c>
      <c r="B22" s="73">
        <v>519</v>
      </c>
      <c r="C22" s="32">
        <v>1</v>
      </c>
      <c r="D22" s="32">
        <v>9</v>
      </c>
      <c r="E22" s="119" t="s">
        <v>61</v>
      </c>
      <c r="F22" s="43"/>
      <c r="G22" s="107">
        <v>140.30000000000001</v>
      </c>
      <c r="H22" s="108">
        <f t="shared" si="0"/>
        <v>3.6992159657875976</v>
      </c>
      <c r="I22" s="109">
        <f t="shared" si="1"/>
        <v>2.245188880969351</v>
      </c>
      <c r="J22" s="110">
        <v>179.4</v>
      </c>
      <c r="K22" s="111">
        <f t="shared" si="2"/>
        <v>2.8929765886287626</v>
      </c>
      <c r="L22" s="112">
        <f t="shared" si="3"/>
        <v>1.7558528428093645</v>
      </c>
      <c r="M22" s="51"/>
      <c r="N22" s="74">
        <v>124.2</v>
      </c>
      <c r="O22" s="75">
        <f t="shared" si="4"/>
        <v>4.1787439613526569</v>
      </c>
      <c r="P22" s="76">
        <f t="shared" si="5"/>
        <v>2.5362318840579712</v>
      </c>
      <c r="Q22" s="53"/>
      <c r="R22" s="51"/>
      <c r="S22" s="33">
        <v>79.5</v>
      </c>
      <c r="T22" s="77">
        <f t="shared" si="6"/>
        <v>6.5283018867924527</v>
      </c>
      <c r="U22" s="78">
        <f t="shared" si="7"/>
        <v>3.9622641509433962</v>
      </c>
      <c r="V22" s="45"/>
      <c r="W22" s="43"/>
      <c r="X22" s="79">
        <v>315</v>
      </c>
      <c r="Y22" s="80">
        <v>20</v>
      </c>
      <c r="Z22" s="36" t="s">
        <v>37</v>
      </c>
      <c r="AA22" s="45"/>
      <c r="AB22" s="43"/>
      <c r="AC22" s="27" t="s">
        <v>95</v>
      </c>
      <c r="AD22" s="45"/>
      <c r="AE22" s="81" t="s">
        <v>96</v>
      </c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</row>
    <row r="23" spans="1:53" ht="14.25" x14ac:dyDescent="0.2">
      <c r="A23" s="82" t="s">
        <v>97</v>
      </c>
      <c r="B23" s="114">
        <v>736</v>
      </c>
      <c r="C23" s="17">
        <v>1</v>
      </c>
      <c r="D23" s="17">
        <v>6</v>
      </c>
      <c r="E23" s="117" t="s">
        <v>61</v>
      </c>
      <c r="F23" s="16"/>
      <c r="G23" s="21">
        <v>145.69999999999999</v>
      </c>
      <c r="H23" s="15">
        <f t="shared" si="0"/>
        <v>5.051475634866164</v>
      </c>
      <c r="I23" s="13">
        <f t="shared" si="1"/>
        <v>2.4365133836650652</v>
      </c>
      <c r="J23" s="15">
        <v>184.6</v>
      </c>
      <c r="K23" s="15">
        <f t="shared" si="2"/>
        <v>3.9869989165763813</v>
      </c>
      <c r="L23" s="15">
        <f t="shared" si="3"/>
        <v>1.9230769230769231</v>
      </c>
      <c r="M23" s="30"/>
      <c r="N23" s="17">
        <v>133.5</v>
      </c>
      <c r="O23" s="17">
        <f t="shared" si="4"/>
        <v>5.5131086142322099</v>
      </c>
      <c r="P23" s="29">
        <f t="shared" si="5"/>
        <v>2.6591760299625467</v>
      </c>
      <c r="Q23" s="17"/>
      <c r="R23" s="16"/>
      <c r="S23" s="40">
        <v>92.8</v>
      </c>
      <c r="T23" s="17">
        <f t="shared" si="6"/>
        <v>7.931034482758621</v>
      </c>
      <c r="U23" s="17">
        <f t="shared" si="7"/>
        <v>3.8254310344827589</v>
      </c>
      <c r="V23" s="15"/>
      <c r="W23" s="20"/>
      <c r="X23" s="15">
        <v>355</v>
      </c>
      <c r="Y23" s="22">
        <v>24</v>
      </c>
      <c r="Z23" s="13" t="s">
        <v>37</v>
      </c>
      <c r="AA23" s="15"/>
      <c r="AB23" s="20"/>
      <c r="AC23" s="27" t="s">
        <v>98</v>
      </c>
      <c r="AD23" s="15"/>
      <c r="AE23" s="23" t="s">
        <v>99</v>
      </c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</row>
    <row r="24" spans="1:53" ht="14.25" x14ac:dyDescent="0.2">
      <c r="A24" s="36" t="s">
        <v>100</v>
      </c>
      <c r="B24" s="57">
        <v>550</v>
      </c>
      <c r="C24" s="32">
        <v>2</v>
      </c>
      <c r="D24" s="32">
        <v>4</v>
      </c>
      <c r="E24" s="116">
        <f>ROUNDUP((C24/D24),2)</f>
        <v>0.5</v>
      </c>
      <c r="F24" s="43"/>
      <c r="G24" s="103">
        <v>137</v>
      </c>
      <c r="H24" s="15">
        <f t="shared" si="0"/>
        <v>4.0145985401459852</v>
      </c>
      <c r="I24" s="13">
        <f t="shared" si="1"/>
        <v>2.4452554744525545</v>
      </c>
      <c r="J24" s="104">
        <v>186.9</v>
      </c>
      <c r="K24" s="15">
        <f t="shared" si="2"/>
        <v>2.9427501337613697</v>
      </c>
      <c r="L24" s="102">
        <f t="shared" si="3"/>
        <v>1.7924023542001069</v>
      </c>
      <c r="M24" s="51"/>
      <c r="N24" s="58">
        <v>115.2</v>
      </c>
      <c r="O24" s="17">
        <f t="shared" si="4"/>
        <v>4.7743055555555554</v>
      </c>
      <c r="P24" s="29">
        <f t="shared" si="5"/>
        <v>2.9079861111111112</v>
      </c>
      <c r="Q24" s="32"/>
      <c r="R24" s="51"/>
      <c r="S24" s="33">
        <v>68.5</v>
      </c>
      <c r="T24" s="17">
        <f t="shared" si="6"/>
        <v>8.0291970802919703</v>
      </c>
      <c r="U24" s="17">
        <f t="shared" si="7"/>
        <v>4.8905109489051091</v>
      </c>
      <c r="V24" s="27"/>
      <c r="W24" s="43"/>
      <c r="X24" s="65">
        <v>335</v>
      </c>
      <c r="Y24" s="48">
        <v>16</v>
      </c>
      <c r="Z24" s="36" t="s">
        <v>37</v>
      </c>
      <c r="AA24" s="27" t="s">
        <v>54</v>
      </c>
      <c r="AB24" s="43"/>
      <c r="AC24" s="27" t="s">
        <v>101</v>
      </c>
      <c r="AD24" s="27"/>
      <c r="AE24" s="49" t="s">
        <v>102</v>
      </c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</row>
    <row r="25" spans="1:53" ht="14.25" x14ac:dyDescent="0.2">
      <c r="A25" s="82" t="s">
        <v>103</v>
      </c>
      <c r="B25" s="114">
        <v>640</v>
      </c>
      <c r="C25" s="17">
        <v>1</v>
      </c>
      <c r="D25" s="17">
        <v>9</v>
      </c>
      <c r="E25" s="29" t="s">
        <v>61</v>
      </c>
      <c r="F25" s="16"/>
      <c r="G25" s="21">
        <v>140.30000000000001</v>
      </c>
      <c r="H25" s="15">
        <f t="shared" si="0"/>
        <v>4.5616535994297926</v>
      </c>
      <c r="I25" s="13">
        <f t="shared" si="1"/>
        <v>2.245188880969351</v>
      </c>
      <c r="J25" s="15">
        <v>179.4</v>
      </c>
      <c r="K25" s="15">
        <f t="shared" si="2"/>
        <v>3.5674470457079153</v>
      </c>
      <c r="L25" s="15">
        <f t="shared" si="3"/>
        <v>1.7558528428093645</v>
      </c>
      <c r="M25" s="30"/>
      <c r="N25" s="17">
        <v>124.2</v>
      </c>
      <c r="O25" s="17">
        <f t="shared" si="4"/>
        <v>5.1529790660225441</v>
      </c>
      <c r="P25" s="29">
        <f t="shared" si="5"/>
        <v>2.5362318840579712</v>
      </c>
      <c r="Q25" s="17"/>
      <c r="R25" s="16"/>
      <c r="S25" s="40">
        <v>79.5</v>
      </c>
      <c r="T25" s="17">
        <f t="shared" si="6"/>
        <v>8.050314465408805</v>
      </c>
      <c r="U25" s="17">
        <f t="shared" si="7"/>
        <v>3.9622641509433962</v>
      </c>
      <c r="V25" s="15"/>
      <c r="W25" s="20"/>
      <c r="X25" s="15">
        <v>315</v>
      </c>
      <c r="Y25" s="22">
        <v>20</v>
      </c>
      <c r="Z25" s="13" t="s">
        <v>37</v>
      </c>
      <c r="AA25" s="15"/>
      <c r="AB25" s="20"/>
      <c r="AC25" s="15" t="s">
        <v>104</v>
      </c>
      <c r="AD25" s="15"/>
      <c r="AE25" s="41" t="s">
        <v>105</v>
      </c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</row>
    <row r="26" spans="1:53" ht="14.25" x14ac:dyDescent="0.2">
      <c r="A26" s="82" t="s">
        <v>106</v>
      </c>
      <c r="B26" s="114">
        <v>800</v>
      </c>
      <c r="C26" s="17">
        <v>1</v>
      </c>
      <c r="D26" s="17">
        <v>6</v>
      </c>
      <c r="E26" s="116">
        <f>ROUNDUP((C26/D26),2)</f>
        <v>0.17</v>
      </c>
      <c r="F26" s="16"/>
      <c r="G26" s="21">
        <v>145.69999999999999</v>
      </c>
      <c r="H26" s="15">
        <f t="shared" si="0"/>
        <v>5.4907343857240907</v>
      </c>
      <c r="I26" s="13">
        <f t="shared" si="1"/>
        <v>2.4365133836650652</v>
      </c>
      <c r="J26" s="15">
        <v>184.6</v>
      </c>
      <c r="K26" s="15">
        <f t="shared" si="2"/>
        <v>4.3336944745395449</v>
      </c>
      <c r="L26" s="15">
        <f t="shared" si="3"/>
        <v>1.9230769230769231</v>
      </c>
      <c r="M26" s="30"/>
      <c r="N26" s="17">
        <v>133.5</v>
      </c>
      <c r="O26" s="17">
        <f t="shared" si="4"/>
        <v>5.9925093632958806</v>
      </c>
      <c r="P26" s="29">
        <f t="shared" si="5"/>
        <v>2.6591760299625467</v>
      </c>
      <c r="Q26" s="17"/>
      <c r="R26" s="16"/>
      <c r="S26" s="40">
        <v>92.8</v>
      </c>
      <c r="T26" s="17">
        <f t="shared" si="6"/>
        <v>8.6206896551724146</v>
      </c>
      <c r="U26" s="17">
        <f t="shared" si="7"/>
        <v>3.8254310344827589</v>
      </c>
      <c r="V26" s="15"/>
      <c r="W26" s="20"/>
      <c r="X26" s="15">
        <v>355</v>
      </c>
      <c r="Y26" s="22">
        <v>24</v>
      </c>
      <c r="Z26" s="13" t="s">
        <v>37</v>
      </c>
      <c r="AA26" s="15"/>
      <c r="AB26" s="20"/>
      <c r="AC26" s="15" t="s">
        <v>77</v>
      </c>
      <c r="AD26" s="15"/>
      <c r="AE26" s="41" t="s">
        <v>107</v>
      </c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</row>
    <row r="27" spans="1:53" ht="14.25" x14ac:dyDescent="0.2">
      <c r="A27" s="82" t="s">
        <v>94</v>
      </c>
      <c r="B27" s="114">
        <v>600</v>
      </c>
      <c r="C27" s="17">
        <v>1</v>
      </c>
      <c r="D27" s="17">
        <v>9</v>
      </c>
      <c r="E27" s="117" t="s">
        <v>61</v>
      </c>
      <c r="F27" s="16"/>
      <c r="G27" s="21">
        <v>140.30000000000001</v>
      </c>
      <c r="H27" s="15">
        <f t="shared" si="0"/>
        <v>4.2765502494654308</v>
      </c>
      <c r="I27" s="13">
        <f t="shared" si="1"/>
        <v>2.245188880969351</v>
      </c>
      <c r="J27" s="15">
        <v>179.4</v>
      </c>
      <c r="K27" s="15">
        <f t="shared" si="2"/>
        <v>3.3444816053511706</v>
      </c>
      <c r="L27" s="15">
        <f t="shared" si="3"/>
        <v>1.7558528428093645</v>
      </c>
      <c r="M27" s="30"/>
      <c r="N27" s="17">
        <v>124.2</v>
      </c>
      <c r="O27" s="17">
        <f t="shared" si="4"/>
        <v>4.8309178743961354</v>
      </c>
      <c r="P27" s="29">
        <f t="shared" si="5"/>
        <v>2.5362318840579712</v>
      </c>
      <c r="Q27" s="17"/>
      <c r="R27" s="16"/>
      <c r="S27" s="40">
        <v>79.5</v>
      </c>
      <c r="T27" s="17">
        <f t="shared" si="6"/>
        <v>7.5471698113207548</v>
      </c>
      <c r="U27" s="17">
        <f t="shared" si="7"/>
        <v>3.9622641509433962</v>
      </c>
      <c r="V27" s="15"/>
      <c r="W27" s="20"/>
      <c r="X27" s="15">
        <v>315</v>
      </c>
      <c r="Y27" s="22">
        <v>20</v>
      </c>
      <c r="Z27" s="13" t="s">
        <v>37</v>
      </c>
      <c r="AA27" s="15"/>
      <c r="AB27" s="20"/>
      <c r="AC27" s="27" t="s">
        <v>95</v>
      </c>
      <c r="AD27" s="15"/>
      <c r="AE27" s="23" t="s">
        <v>108</v>
      </c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</row>
    <row r="28" spans="1:53" ht="14.25" x14ac:dyDescent="0.2">
      <c r="A28" s="13" t="s">
        <v>109</v>
      </c>
      <c r="B28" s="114">
        <v>400</v>
      </c>
      <c r="C28" s="17">
        <v>9</v>
      </c>
      <c r="D28" s="17">
        <v>14</v>
      </c>
      <c r="E28" s="116">
        <f>ROUNDUP((C28/D28),2)</f>
        <v>0.65</v>
      </c>
      <c r="F28" s="16"/>
      <c r="G28" s="15">
        <v>104.8</v>
      </c>
      <c r="H28" s="15">
        <f t="shared" si="0"/>
        <v>3.8167938931297711</v>
      </c>
      <c r="I28" s="13">
        <f t="shared" si="1"/>
        <v>2.7671755725190841</v>
      </c>
      <c r="J28" s="15">
        <v>160.69999999999999</v>
      </c>
      <c r="K28" s="15">
        <f t="shared" si="2"/>
        <v>2.4891101431238334</v>
      </c>
      <c r="L28" s="15">
        <f t="shared" si="3"/>
        <v>1.8046048537647792</v>
      </c>
      <c r="M28" s="19"/>
      <c r="N28" s="17">
        <v>83.2</v>
      </c>
      <c r="O28" s="15">
        <f t="shared" si="4"/>
        <v>4.8076923076923075</v>
      </c>
      <c r="P28" s="13">
        <f t="shared" si="5"/>
        <v>3.4855769230769229</v>
      </c>
      <c r="Q28" s="15"/>
      <c r="R28" s="20"/>
      <c r="S28" s="21">
        <v>46.5</v>
      </c>
      <c r="T28" s="15">
        <f t="shared" si="6"/>
        <v>8.6021505376344081</v>
      </c>
      <c r="U28" s="15">
        <f t="shared" si="7"/>
        <v>6.236559139784946</v>
      </c>
      <c r="V28" s="15"/>
      <c r="W28" s="20"/>
      <c r="X28" s="15">
        <v>290</v>
      </c>
      <c r="Y28" s="22">
        <v>8</v>
      </c>
      <c r="Z28" s="13" t="s">
        <v>46</v>
      </c>
      <c r="AA28" s="15" t="s">
        <v>50</v>
      </c>
      <c r="AB28" s="20"/>
      <c r="AC28" s="15" t="s">
        <v>58</v>
      </c>
      <c r="AD28" s="15"/>
      <c r="AE28" s="41" t="s">
        <v>110</v>
      </c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</row>
    <row r="29" spans="1:53" ht="14.25" x14ac:dyDescent="0.2">
      <c r="A29" s="13" t="s">
        <v>111</v>
      </c>
      <c r="B29" s="114">
        <v>618</v>
      </c>
      <c r="C29" s="17"/>
      <c r="D29" s="17"/>
      <c r="E29" s="117" t="s">
        <v>61</v>
      </c>
      <c r="F29" s="16"/>
      <c r="G29" s="15">
        <v>135.19999999999999</v>
      </c>
      <c r="H29" s="15">
        <f t="shared" si="0"/>
        <v>4.5710059171597637</v>
      </c>
      <c r="I29" s="13">
        <f t="shared" si="1"/>
        <v>2.1079881656804735</v>
      </c>
      <c r="J29" s="15">
        <v>180.7</v>
      </c>
      <c r="K29" s="15">
        <f t="shared" si="2"/>
        <v>3.4200332042058661</v>
      </c>
      <c r="L29" s="15">
        <f t="shared" si="3"/>
        <v>1.5771997786386276</v>
      </c>
      <c r="M29" s="30"/>
      <c r="N29" s="17">
        <v>115.1</v>
      </c>
      <c r="O29" s="17">
        <f t="shared" si="4"/>
        <v>5.3692441355343181</v>
      </c>
      <c r="P29" s="29">
        <f t="shared" si="5"/>
        <v>2.4761077324066032</v>
      </c>
      <c r="Q29" s="17"/>
      <c r="R29" s="16"/>
      <c r="S29" s="40">
        <v>71.8</v>
      </c>
      <c r="T29" s="17">
        <f t="shared" si="6"/>
        <v>8.6072423398328688</v>
      </c>
      <c r="U29" s="17">
        <f t="shared" si="7"/>
        <v>3.9693593314763231</v>
      </c>
      <c r="V29" s="15"/>
      <c r="W29" s="20"/>
      <c r="X29" s="15">
        <v>285</v>
      </c>
      <c r="Y29" s="22">
        <v>12</v>
      </c>
      <c r="Z29" s="18" t="s">
        <v>46</v>
      </c>
      <c r="AA29" s="15"/>
      <c r="AB29" s="20"/>
      <c r="AC29" s="27" t="s">
        <v>63</v>
      </c>
      <c r="AD29" s="15"/>
      <c r="AE29" s="23" t="s">
        <v>112</v>
      </c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</row>
    <row r="30" spans="1:53" ht="14.25" x14ac:dyDescent="0.2">
      <c r="A30" s="13" t="s">
        <v>113</v>
      </c>
      <c r="B30" s="114">
        <v>600</v>
      </c>
      <c r="C30" s="17" t="s">
        <v>61</v>
      </c>
      <c r="D30" s="17" t="s">
        <v>61</v>
      </c>
      <c r="E30" s="117" t="s">
        <v>61</v>
      </c>
      <c r="F30" s="16"/>
      <c r="G30" s="21">
        <v>137</v>
      </c>
      <c r="H30" s="15">
        <f t="shared" si="0"/>
        <v>4.3795620437956204</v>
      </c>
      <c r="I30" s="13">
        <f t="shared" si="1"/>
        <v>2.4452554744525545</v>
      </c>
      <c r="J30" s="15">
        <v>186.9</v>
      </c>
      <c r="K30" s="15">
        <f t="shared" si="2"/>
        <v>3.2102728731942216</v>
      </c>
      <c r="L30" s="102">
        <f t="shared" si="3"/>
        <v>1.7924023542001069</v>
      </c>
      <c r="M30" s="30"/>
      <c r="N30" s="17">
        <v>115.2</v>
      </c>
      <c r="O30" s="17">
        <f t="shared" si="4"/>
        <v>5.208333333333333</v>
      </c>
      <c r="P30" s="29">
        <f t="shared" si="5"/>
        <v>2.9079861111111112</v>
      </c>
      <c r="Q30" s="17"/>
      <c r="R30" s="16"/>
      <c r="S30" s="40">
        <v>68.5</v>
      </c>
      <c r="T30" s="17">
        <f t="shared" si="6"/>
        <v>8.7591240875912408</v>
      </c>
      <c r="U30" s="17">
        <f t="shared" si="7"/>
        <v>4.8905109489051091</v>
      </c>
      <c r="V30" s="15"/>
      <c r="W30" s="20"/>
      <c r="X30" s="15">
        <v>335</v>
      </c>
      <c r="Y30" s="22">
        <v>16</v>
      </c>
      <c r="Z30" s="13" t="s">
        <v>37</v>
      </c>
      <c r="AA30" s="15" t="s">
        <v>54</v>
      </c>
      <c r="AB30" s="20"/>
      <c r="AC30" s="15" t="s">
        <v>58</v>
      </c>
      <c r="AD30" s="15" t="s">
        <v>90</v>
      </c>
      <c r="AE30" s="41" t="s">
        <v>114</v>
      </c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</row>
    <row r="31" spans="1:53" ht="14.25" x14ac:dyDescent="0.2">
      <c r="A31" s="13" t="s">
        <v>115</v>
      </c>
      <c r="B31" s="114">
        <v>315</v>
      </c>
      <c r="C31" s="17">
        <v>0.25</v>
      </c>
      <c r="D31" s="17" t="s">
        <v>61</v>
      </c>
      <c r="E31" s="117" t="s">
        <v>61</v>
      </c>
      <c r="F31" s="16"/>
      <c r="G31" s="15">
        <v>77.599999999999994</v>
      </c>
      <c r="H31" s="15">
        <f t="shared" si="0"/>
        <v>4.0592783505154646</v>
      </c>
      <c r="I31" s="13">
        <f t="shared" si="1"/>
        <v>2.8994845360824746</v>
      </c>
      <c r="J31" s="15">
        <v>117.4</v>
      </c>
      <c r="K31" s="15">
        <f t="shared" si="2"/>
        <v>2.6831345826235093</v>
      </c>
      <c r="L31" s="15">
        <f t="shared" si="3"/>
        <v>1.9165247018739351</v>
      </c>
      <c r="M31" s="19"/>
      <c r="N31" s="17">
        <v>60.1</v>
      </c>
      <c r="O31" s="15">
        <f t="shared" si="4"/>
        <v>5.2412645590682194</v>
      </c>
      <c r="P31" s="13">
        <f t="shared" si="5"/>
        <v>3.7437603993344424</v>
      </c>
      <c r="Q31" s="15"/>
      <c r="R31" s="20"/>
      <c r="S31" s="21">
        <v>35.4</v>
      </c>
      <c r="T31" s="15">
        <f t="shared" si="6"/>
        <v>8.898305084745763</v>
      </c>
      <c r="U31" s="15">
        <f t="shared" si="7"/>
        <v>6.3559322033898304</v>
      </c>
      <c r="V31" s="15"/>
      <c r="W31" s="20"/>
      <c r="X31" s="15">
        <v>225</v>
      </c>
      <c r="Y31" s="22">
        <v>16</v>
      </c>
      <c r="Z31" s="13" t="s">
        <v>37</v>
      </c>
      <c r="AA31" s="15" t="s">
        <v>54</v>
      </c>
      <c r="AB31" s="20"/>
      <c r="AC31" s="15" t="s">
        <v>58</v>
      </c>
      <c r="AD31" s="15"/>
      <c r="AE31" s="41" t="s">
        <v>116</v>
      </c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</row>
    <row r="32" spans="1:53" ht="14.25" x14ac:dyDescent="0.2">
      <c r="A32" s="13" t="s">
        <v>117</v>
      </c>
      <c r="B32" s="114">
        <v>718</v>
      </c>
      <c r="C32" s="17">
        <v>2</v>
      </c>
      <c r="D32" s="17">
        <v>6</v>
      </c>
      <c r="E32" s="117" t="s">
        <v>61</v>
      </c>
      <c r="F32" s="16"/>
      <c r="G32" s="15">
        <v>132.6</v>
      </c>
      <c r="H32" s="15">
        <f t="shared" si="0"/>
        <v>5.4147812971342386</v>
      </c>
      <c r="I32" s="13">
        <f t="shared" si="1"/>
        <v>3.3936651583710407</v>
      </c>
      <c r="J32" s="15">
        <v>178.8</v>
      </c>
      <c r="K32" s="15">
        <f t="shared" si="2"/>
        <v>4.01565995525727</v>
      </c>
      <c r="L32" s="15">
        <f t="shared" si="3"/>
        <v>2.5167785234899327</v>
      </c>
      <c r="M32" s="30"/>
      <c r="N32" s="17">
        <v>114.7</v>
      </c>
      <c r="O32" s="17">
        <f t="shared" si="4"/>
        <v>6.2598081952920657</v>
      </c>
      <c r="P32" s="29">
        <f t="shared" si="5"/>
        <v>3.9232781168265038</v>
      </c>
      <c r="Q32" s="17"/>
      <c r="R32" s="16"/>
      <c r="S32" s="40">
        <v>76.400000000000006</v>
      </c>
      <c r="T32" s="17">
        <f t="shared" si="6"/>
        <v>9.3979057591623025</v>
      </c>
      <c r="U32" s="17">
        <f t="shared" si="7"/>
        <v>5.8900523560209423</v>
      </c>
      <c r="V32" s="15"/>
      <c r="W32" s="20"/>
      <c r="X32" s="15">
        <v>450</v>
      </c>
      <c r="Y32" s="22">
        <v>24</v>
      </c>
      <c r="Z32" s="18" t="s">
        <v>46</v>
      </c>
      <c r="AA32" s="15"/>
      <c r="AB32" s="20"/>
      <c r="AC32" s="27" t="s">
        <v>63</v>
      </c>
      <c r="AD32" s="15"/>
      <c r="AE32" s="23" t="s">
        <v>118</v>
      </c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</row>
    <row r="33" spans="1:53" ht="14.25" x14ac:dyDescent="0.2">
      <c r="A33" s="13" t="s">
        <v>119</v>
      </c>
      <c r="B33" s="114">
        <v>965</v>
      </c>
      <c r="C33" s="17">
        <v>2</v>
      </c>
      <c r="D33" s="17">
        <v>15</v>
      </c>
      <c r="E33" s="116">
        <f t="shared" ref="E33:E34" si="10">ROUNDUP((C33/D33),2)</f>
        <v>0.14000000000000001</v>
      </c>
      <c r="F33" s="16"/>
      <c r="G33" s="15">
        <v>142.5</v>
      </c>
      <c r="H33" s="15">
        <f t="shared" si="0"/>
        <v>6.7719298245614032</v>
      </c>
      <c r="I33" s="13">
        <f t="shared" si="1"/>
        <v>2.2456140350877192</v>
      </c>
      <c r="J33" s="15">
        <v>184.2</v>
      </c>
      <c r="K33" s="15">
        <f t="shared" si="2"/>
        <v>5.2388707926167211</v>
      </c>
      <c r="L33" s="15">
        <f t="shared" si="3"/>
        <v>1.7372421281216071</v>
      </c>
      <c r="M33" s="30"/>
      <c r="N33" s="17">
        <v>129</v>
      </c>
      <c r="O33" s="17">
        <f t="shared" si="4"/>
        <v>7.4806201550387597</v>
      </c>
      <c r="P33" s="29">
        <f t="shared" si="5"/>
        <v>2.4806201550387597</v>
      </c>
      <c r="Q33" s="17"/>
      <c r="R33" s="16"/>
      <c r="S33" s="40">
        <v>88.7</v>
      </c>
      <c r="T33" s="17">
        <f t="shared" si="6"/>
        <v>10.879368658399098</v>
      </c>
      <c r="U33" s="17">
        <f t="shared" si="7"/>
        <v>3.6076662908680945</v>
      </c>
      <c r="V33" s="15"/>
      <c r="W33" s="20"/>
      <c r="X33" s="15">
        <v>320</v>
      </c>
      <c r="Y33" s="22">
        <v>16</v>
      </c>
      <c r="Z33" s="18" t="s">
        <v>46</v>
      </c>
      <c r="AA33" s="15"/>
      <c r="AB33" s="20"/>
      <c r="AC33" s="15" t="s">
        <v>101</v>
      </c>
      <c r="AD33" s="15"/>
      <c r="AE33" s="23" t="s">
        <v>120</v>
      </c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</row>
    <row r="34" spans="1:53" ht="14.25" x14ac:dyDescent="0.2">
      <c r="A34" s="13" t="s">
        <v>121</v>
      </c>
      <c r="B34" s="114">
        <v>750</v>
      </c>
      <c r="C34" s="17">
        <v>2</v>
      </c>
      <c r="D34" s="17">
        <v>6</v>
      </c>
      <c r="E34" s="116">
        <f t="shared" si="10"/>
        <v>0.34</v>
      </c>
      <c r="F34" s="16"/>
      <c r="G34" s="15">
        <v>132.6</v>
      </c>
      <c r="H34" s="15">
        <f t="shared" si="0"/>
        <v>5.6561085972850682</v>
      </c>
      <c r="I34" s="13">
        <f t="shared" si="1"/>
        <v>3.3936651583710407</v>
      </c>
      <c r="J34" s="15">
        <v>178.8</v>
      </c>
      <c r="K34" s="15">
        <f t="shared" si="2"/>
        <v>4.1946308724832209</v>
      </c>
      <c r="L34" s="15">
        <f t="shared" si="3"/>
        <v>2.5167785234899327</v>
      </c>
      <c r="M34" s="30"/>
      <c r="N34" s="17">
        <v>114.7</v>
      </c>
      <c r="O34" s="17">
        <f t="shared" si="4"/>
        <v>6.5387968613775067</v>
      </c>
      <c r="P34" s="29">
        <f t="shared" si="5"/>
        <v>3.9232781168265038</v>
      </c>
      <c r="Q34" s="17"/>
      <c r="R34" s="16"/>
      <c r="S34" s="40">
        <v>76.400000000000006</v>
      </c>
      <c r="T34" s="17">
        <f t="shared" si="6"/>
        <v>9.8167539267015691</v>
      </c>
      <c r="U34" s="17">
        <f t="shared" si="7"/>
        <v>5.8900523560209423</v>
      </c>
      <c r="V34" s="15"/>
      <c r="W34" s="20"/>
      <c r="X34" s="13">
        <v>450</v>
      </c>
      <c r="Y34" s="15">
        <v>24</v>
      </c>
      <c r="Z34" s="18" t="s">
        <v>46</v>
      </c>
      <c r="AA34" s="15"/>
      <c r="AB34" s="20"/>
      <c r="AC34" s="15" t="s">
        <v>101</v>
      </c>
      <c r="AD34" s="15"/>
      <c r="AE34" s="23" t="s">
        <v>122</v>
      </c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</row>
    <row r="35" spans="1:53" ht="14.25" x14ac:dyDescent="0.2">
      <c r="A35" s="13" t="s">
        <v>123</v>
      </c>
      <c r="B35" s="114">
        <v>899</v>
      </c>
      <c r="C35" s="17">
        <v>2</v>
      </c>
      <c r="D35" s="17">
        <v>15</v>
      </c>
      <c r="E35" s="117" t="s">
        <v>61</v>
      </c>
      <c r="F35" s="16"/>
      <c r="G35" s="15">
        <v>142.5</v>
      </c>
      <c r="H35" s="15">
        <f t="shared" si="0"/>
        <v>6.3087719298245615</v>
      </c>
      <c r="I35" s="13">
        <f t="shared" si="1"/>
        <v>2.2456140350877192</v>
      </c>
      <c r="J35" s="15">
        <v>184.2</v>
      </c>
      <c r="K35" s="15">
        <f t="shared" si="2"/>
        <v>4.8805646036916395</v>
      </c>
      <c r="L35" s="15">
        <f t="shared" si="3"/>
        <v>1.7372421281216071</v>
      </c>
      <c r="M35" s="30"/>
      <c r="N35" s="17">
        <v>129</v>
      </c>
      <c r="O35" s="17">
        <f t="shared" si="4"/>
        <v>6.9689922480620154</v>
      </c>
      <c r="P35" s="29">
        <f t="shared" si="5"/>
        <v>2.4806201550387597</v>
      </c>
      <c r="Q35" s="17"/>
      <c r="R35" s="16"/>
      <c r="S35" s="40">
        <v>88.7</v>
      </c>
      <c r="T35" s="17">
        <f t="shared" si="6"/>
        <v>10.135287485907552</v>
      </c>
      <c r="U35" s="17">
        <f t="shared" si="7"/>
        <v>3.6076662908680945</v>
      </c>
      <c r="V35" s="15"/>
      <c r="W35" s="20"/>
      <c r="X35" s="15">
        <v>320</v>
      </c>
      <c r="Y35" s="22">
        <v>16</v>
      </c>
      <c r="Z35" s="18" t="s">
        <v>46</v>
      </c>
      <c r="AA35" s="15"/>
      <c r="AB35" s="20"/>
      <c r="AC35" s="27" t="s">
        <v>63</v>
      </c>
      <c r="AD35" s="15"/>
      <c r="AE35" s="23" t="s">
        <v>124</v>
      </c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</row>
    <row r="36" spans="1:53" ht="14.25" x14ac:dyDescent="0.2">
      <c r="A36" s="36" t="s">
        <v>125</v>
      </c>
      <c r="B36" s="83">
        <v>1237</v>
      </c>
      <c r="C36" s="32">
        <v>2</v>
      </c>
      <c r="D36" s="32">
        <v>10</v>
      </c>
      <c r="E36" s="117" t="s">
        <v>61</v>
      </c>
      <c r="F36" s="43"/>
      <c r="G36" s="113">
        <v>151.6</v>
      </c>
      <c r="H36" s="15">
        <f t="shared" si="0"/>
        <v>8.1596306068601585</v>
      </c>
      <c r="I36" s="13">
        <f t="shared" si="1"/>
        <v>2.9683377308707124</v>
      </c>
      <c r="J36" s="113">
        <v>189.5</v>
      </c>
      <c r="K36" s="15">
        <f t="shared" si="2"/>
        <v>6.527704485488127</v>
      </c>
      <c r="L36" s="15">
        <f t="shared" si="3"/>
        <v>2.3746701846965701</v>
      </c>
      <c r="M36" s="51"/>
      <c r="N36" s="84">
        <v>143.1</v>
      </c>
      <c r="O36" s="17">
        <f t="shared" si="4"/>
        <v>8.6443046820405307</v>
      </c>
      <c r="P36" s="29">
        <f t="shared" si="5"/>
        <v>3.1446540880503147</v>
      </c>
      <c r="Q36" s="53"/>
      <c r="R36" s="51"/>
      <c r="S36" s="33">
        <v>114.1</v>
      </c>
      <c r="T36" s="17">
        <f t="shared" si="6"/>
        <v>10.84136722173532</v>
      </c>
      <c r="U36" s="17">
        <f t="shared" si="7"/>
        <v>3.9439088518843124</v>
      </c>
      <c r="V36" s="45"/>
      <c r="W36" s="43"/>
      <c r="X36" s="85">
        <v>450</v>
      </c>
      <c r="Y36" s="84">
        <v>24</v>
      </c>
      <c r="Z36" s="36" t="s">
        <v>46</v>
      </c>
      <c r="AA36" s="45"/>
      <c r="AB36" s="43"/>
      <c r="AC36" s="27" t="s">
        <v>63</v>
      </c>
      <c r="AD36" s="27"/>
      <c r="AE36" s="60" t="s">
        <v>126</v>
      </c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</row>
    <row r="37" spans="1:53" ht="14.25" x14ac:dyDescent="0.2">
      <c r="A37" s="13" t="s">
        <v>127</v>
      </c>
      <c r="B37" s="114">
        <v>132</v>
      </c>
      <c r="C37" s="17"/>
      <c r="D37" s="17"/>
      <c r="E37" s="115">
        <v>0.99</v>
      </c>
      <c r="F37" s="16"/>
      <c r="G37" s="15">
        <v>44.6</v>
      </c>
      <c r="H37" s="15">
        <f t="shared" si="0"/>
        <v>2.9596412556053813</v>
      </c>
      <c r="I37" s="13">
        <f t="shared" si="1"/>
        <v>2.6905829596412554</v>
      </c>
      <c r="J37" s="15">
        <v>82</v>
      </c>
      <c r="K37" s="15">
        <f t="shared" si="2"/>
        <v>1.6097560975609757</v>
      </c>
      <c r="L37" s="15">
        <f t="shared" si="3"/>
        <v>1.4634146341463414</v>
      </c>
      <c r="M37" s="19"/>
      <c r="N37" s="17">
        <v>32.1</v>
      </c>
      <c r="O37" s="15">
        <f t="shared" si="4"/>
        <v>4.1121495327102799</v>
      </c>
      <c r="P37" s="13">
        <f t="shared" si="5"/>
        <v>3.7383177570093458</v>
      </c>
      <c r="Q37" s="15"/>
      <c r="R37" s="20"/>
      <c r="S37" s="123" t="s">
        <v>61</v>
      </c>
      <c r="T37" s="123" t="s">
        <v>61</v>
      </c>
      <c r="U37" s="123" t="s">
        <v>61</v>
      </c>
      <c r="V37" s="15"/>
      <c r="W37" s="20"/>
      <c r="X37" s="15">
        <v>120</v>
      </c>
      <c r="Y37" s="22">
        <v>6</v>
      </c>
      <c r="Z37" s="13" t="s">
        <v>37</v>
      </c>
      <c r="AA37" s="15"/>
      <c r="AB37" s="20"/>
      <c r="AC37" s="15" t="s">
        <v>33</v>
      </c>
      <c r="AD37" s="15"/>
      <c r="AE37" s="23" t="s">
        <v>128</v>
      </c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</row>
    <row r="38" spans="1:53" ht="14.25" x14ac:dyDescent="0.2">
      <c r="A38" s="13" t="s">
        <v>129</v>
      </c>
      <c r="B38" s="114">
        <v>150</v>
      </c>
      <c r="C38" s="17">
        <v>3</v>
      </c>
      <c r="D38" s="17">
        <v>13</v>
      </c>
      <c r="E38" s="116">
        <f>ROUNDUP((C38/D38),2)</f>
        <v>0.24000000000000002</v>
      </c>
      <c r="F38" s="16"/>
      <c r="G38" s="15">
        <v>68.8</v>
      </c>
      <c r="H38" s="15">
        <f t="shared" si="0"/>
        <v>2.1802325581395348</v>
      </c>
      <c r="I38" s="13">
        <f t="shared" si="1"/>
        <v>1.9186046511627908</v>
      </c>
      <c r="J38" s="15">
        <v>124.1</v>
      </c>
      <c r="K38" s="15">
        <f t="shared" si="2"/>
        <v>1.2087026591458501</v>
      </c>
      <c r="L38" s="15">
        <f t="shared" si="3"/>
        <v>1.0636583400483481</v>
      </c>
      <c r="M38" s="19"/>
      <c r="N38" s="17">
        <v>47.1</v>
      </c>
      <c r="O38" s="15">
        <f t="shared" si="4"/>
        <v>3.1847133757961781</v>
      </c>
      <c r="P38" s="13">
        <f t="shared" si="5"/>
        <v>2.8025477707006368</v>
      </c>
      <c r="Q38" s="15"/>
      <c r="R38" s="20"/>
      <c r="S38" s="123" t="s">
        <v>61</v>
      </c>
      <c r="T38" s="123" t="s">
        <v>61</v>
      </c>
      <c r="U38" s="123" t="s">
        <v>61</v>
      </c>
      <c r="V38" s="15"/>
      <c r="W38" s="20"/>
      <c r="X38" s="15">
        <v>132</v>
      </c>
      <c r="Y38" s="22">
        <v>8</v>
      </c>
      <c r="Z38" s="18" t="s">
        <v>37</v>
      </c>
      <c r="AA38" s="15" t="s">
        <v>54</v>
      </c>
      <c r="AB38" s="20"/>
      <c r="AC38" s="15" t="s">
        <v>58</v>
      </c>
      <c r="AD38" s="15"/>
      <c r="AE38" s="41" t="s">
        <v>130</v>
      </c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</row>
    <row r="39" spans="1:53" ht="14.25" x14ac:dyDescent="0.2">
      <c r="A39" s="13" t="s">
        <v>131</v>
      </c>
      <c r="B39" s="114">
        <v>180</v>
      </c>
      <c r="C39" s="17" t="s">
        <v>61</v>
      </c>
      <c r="D39" s="17" t="s">
        <v>61</v>
      </c>
      <c r="E39" s="117" t="s">
        <v>61</v>
      </c>
      <c r="F39" s="16"/>
      <c r="G39" s="15">
        <v>68.8</v>
      </c>
      <c r="H39" s="15">
        <f t="shared" si="0"/>
        <v>2.6162790697674421</v>
      </c>
      <c r="I39" s="13">
        <f t="shared" si="1"/>
        <v>1.9186046511627908</v>
      </c>
      <c r="J39" s="15">
        <v>124.1</v>
      </c>
      <c r="K39" s="15">
        <f t="shared" si="2"/>
        <v>1.4504431909750202</v>
      </c>
      <c r="L39" s="15">
        <f t="shared" si="3"/>
        <v>1.0636583400483481</v>
      </c>
      <c r="M39" s="19"/>
      <c r="N39" s="17">
        <v>47.1</v>
      </c>
      <c r="O39" s="15">
        <f t="shared" si="4"/>
        <v>3.8216560509554141</v>
      </c>
      <c r="P39" s="13">
        <f t="shared" si="5"/>
        <v>2.8025477707006368</v>
      </c>
      <c r="Q39" s="15"/>
      <c r="R39" s="20"/>
      <c r="S39" s="123" t="s">
        <v>61</v>
      </c>
      <c r="T39" s="123" t="s">
        <v>61</v>
      </c>
      <c r="U39" s="123" t="s">
        <v>61</v>
      </c>
      <c r="V39" s="15"/>
      <c r="W39" s="20"/>
      <c r="X39" s="13">
        <v>132</v>
      </c>
      <c r="Y39" s="15">
        <v>8</v>
      </c>
      <c r="Z39" s="18" t="s">
        <v>37</v>
      </c>
      <c r="AA39" s="15" t="s">
        <v>54</v>
      </c>
      <c r="AB39" s="20"/>
      <c r="AC39" s="15" t="s">
        <v>132</v>
      </c>
      <c r="AD39" s="15"/>
      <c r="AE39" s="23" t="s">
        <v>133</v>
      </c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</row>
    <row r="40" spans="1:53" ht="14.25" x14ac:dyDescent="0.2">
      <c r="A40" s="13" t="s">
        <v>134</v>
      </c>
      <c r="B40" s="114">
        <v>195</v>
      </c>
      <c r="C40" s="17">
        <v>2</v>
      </c>
      <c r="D40" s="17">
        <v>15</v>
      </c>
      <c r="E40" s="116">
        <f t="shared" ref="E40:E42" si="11">ROUNDUP((C40/D40),2)</f>
        <v>0.14000000000000001</v>
      </c>
      <c r="F40" s="16"/>
      <c r="G40" s="15">
        <v>79.599999999999994</v>
      </c>
      <c r="H40" s="15">
        <f t="shared" si="0"/>
        <v>2.449748743718593</v>
      </c>
      <c r="I40" s="13">
        <f t="shared" si="1"/>
        <v>2.0100502512562817</v>
      </c>
      <c r="J40" s="15">
        <v>140.4</v>
      </c>
      <c r="K40" s="15">
        <f t="shared" si="2"/>
        <v>1.3888888888888888</v>
      </c>
      <c r="L40" s="15">
        <f t="shared" si="3"/>
        <v>1.1396011396011396</v>
      </c>
      <c r="M40" s="19"/>
      <c r="N40" s="17">
        <v>55.8</v>
      </c>
      <c r="O40" s="15">
        <f t="shared" si="4"/>
        <v>3.4946236559139785</v>
      </c>
      <c r="P40" s="13">
        <f t="shared" si="5"/>
        <v>2.8673835125448028</v>
      </c>
      <c r="Q40" s="15"/>
      <c r="R40" s="20"/>
      <c r="S40" s="123" t="s">
        <v>61</v>
      </c>
      <c r="T40" s="123" t="s">
        <v>61</v>
      </c>
      <c r="U40" s="123" t="s">
        <v>61</v>
      </c>
      <c r="V40" s="15"/>
      <c r="W40" s="20"/>
      <c r="X40" s="15">
        <v>160</v>
      </c>
      <c r="Y40" s="22">
        <v>8</v>
      </c>
      <c r="Z40" s="18" t="s">
        <v>37</v>
      </c>
      <c r="AA40" s="15" t="s">
        <v>54</v>
      </c>
      <c r="AB40" s="20"/>
      <c r="AC40" s="15" t="s">
        <v>58</v>
      </c>
      <c r="AD40" s="15"/>
      <c r="AE40" s="23" t="s">
        <v>135</v>
      </c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</row>
    <row r="41" spans="1:53" ht="14.25" x14ac:dyDescent="0.2">
      <c r="A41" s="13" t="s">
        <v>136</v>
      </c>
      <c r="B41" s="114">
        <v>240</v>
      </c>
      <c r="C41" s="17">
        <v>5</v>
      </c>
      <c r="D41" s="17">
        <v>24</v>
      </c>
      <c r="E41" s="116">
        <f t="shared" si="11"/>
        <v>0.21000000000000002</v>
      </c>
      <c r="F41" s="16"/>
      <c r="G41" s="15">
        <v>71.8</v>
      </c>
      <c r="H41" s="15">
        <f t="shared" si="0"/>
        <v>3.3426183844011144</v>
      </c>
      <c r="I41" s="13">
        <f t="shared" si="1"/>
        <v>2.3676880222841228</v>
      </c>
      <c r="J41" s="15">
        <v>120.2</v>
      </c>
      <c r="K41" s="15">
        <f t="shared" si="2"/>
        <v>1.9966722129783694</v>
      </c>
      <c r="L41" s="15">
        <f t="shared" si="3"/>
        <v>1.4143094841930117</v>
      </c>
      <c r="M41" s="19"/>
      <c r="N41" s="17">
        <v>53.1</v>
      </c>
      <c r="O41" s="15">
        <f t="shared" si="4"/>
        <v>4.5197740112994351</v>
      </c>
      <c r="P41" s="13">
        <f t="shared" si="5"/>
        <v>3.2015065913370999</v>
      </c>
      <c r="Q41" s="15"/>
      <c r="R41" s="20"/>
      <c r="S41" s="123" t="s">
        <v>61</v>
      </c>
      <c r="T41" s="123" t="s">
        <v>61</v>
      </c>
      <c r="U41" s="123" t="s">
        <v>61</v>
      </c>
      <c r="V41" s="15"/>
      <c r="W41" s="20"/>
      <c r="X41" s="15">
        <v>170</v>
      </c>
      <c r="Y41" s="22">
        <v>12</v>
      </c>
      <c r="Z41" s="13" t="s">
        <v>37</v>
      </c>
      <c r="AA41" s="15" t="s">
        <v>137</v>
      </c>
      <c r="AB41" s="20"/>
      <c r="AC41" s="15" t="s">
        <v>58</v>
      </c>
      <c r="AD41" s="15"/>
      <c r="AE41" s="23" t="s">
        <v>138</v>
      </c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</row>
    <row r="42" spans="1:53" ht="14.25" x14ac:dyDescent="0.2">
      <c r="A42" s="13" t="s">
        <v>139</v>
      </c>
      <c r="B42" s="114">
        <v>225</v>
      </c>
      <c r="C42" s="17">
        <v>1.3</v>
      </c>
      <c r="D42" s="17">
        <v>4</v>
      </c>
      <c r="E42" s="116">
        <f t="shared" si="11"/>
        <v>0.33</v>
      </c>
      <c r="F42" s="16"/>
      <c r="G42" s="15">
        <v>81.400000000000006</v>
      </c>
      <c r="H42" s="15">
        <f t="shared" si="0"/>
        <v>2.764127764127764</v>
      </c>
      <c r="I42" s="13">
        <f t="shared" si="1"/>
        <v>2.1621621621621618</v>
      </c>
      <c r="J42" s="15">
        <v>142.30000000000001</v>
      </c>
      <c r="K42" s="15">
        <f t="shared" si="2"/>
        <v>1.5811665495432183</v>
      </c>
      <c r="L42" s="15">
        <f t="shared" si="3"/>
        <v>1.2368236120871396</v>
      </c>
      <c r="M42" s="19"/>
      <c r="N42" s="17">
        <v>57</v>
      </c>
      <c r="O42" s="15">
        <f t="shared" si="4"/>
        <v>3.9473684210526314</v>
      </c>
      <c r="P42" s="13">
        <f t="shared" si="5"/>
        <v>3.0877192982456139</v>
      </c>
      <c r="Q42" s="15"/>
      <c r="R42" s="20"/>
      <c r="S42" s="123" t="s">
        <v>61</v>
      </c>
      <c r="T42" s="123" t="s">
        <v>61</v>
      </c>
      <c r="U42" s="123" t="s">
        <v>61</v>
      </c>
      <c r="V42" s="15"/>
      <c r="W42" s="20"/>
      <c r="X42" s="15">
        <v>176</v>
      </c>
      <c r="Y42" s="22">
        <v>8</v>
      </c>
      <c r="Z42" s="18" t="s">
        <v>37</v>
      </c>
      <c r="AA42" s="15" t="s">
        <v>54</v>
      </c>
      <c r="AB42" s="20"/>
      <c r="AC42" s="15" t="s">
        <v>58</v>
      </c>
      <c r="AD42" s="15"/>
      <c r="AE42" s="23" t="s">
        <v>140</v>
      </c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</row>
    <row r="43" spans="1:53" ht="14.25" x14ac:dyDescent="0.2">
      <c r="A43" s="13" t="s">
        <v>141</v>
      </c>
      <c r="B43" s="114">
        <v>246</v>
      </c>
      <c r="C43" s="17" t="s">
        <v>61</v>
      </c>
      <c r="D43" s="17" t="s">
        <v>61</v>
      </c>
      <c r="E43" s="117" t="s">
        <v>61</v>
      </c>
      <c r="F43" s="16"/>
      <c r="G43" s="15">
        <v>81.400000000000006</v>
      </c>
      <c r="H43" s="15">
        <f t="shared" si="0"/>
        <v>3.0221130221130217</v>
      </c>
      <c r="I43" s="13">
        <f t="shared" si="1"/>
        <v>2.1621621621621618</v>
      </c>
      <c r="J43" s="15">
        <v>142.30000000000001</v>
      </c>
      <c r="K43" s="15">
        <f t="shared" si="2"/>
        <v>1.7287420941672522</v>
      </c>
      <c r="L43" s="15">
        <f t="shared" si="3"/>
        <v>1.2368236120871396</v>
      </c>
      <c r="M43" s="19"/>
      <c r="N43" s="17">
        <v>57</v>
      </c>
      <c r="O43" s="15">
        <f t="shared" si="4"/>
        <v>4.3157894736842106</v>
      </c>
      <c r="P43" s="13">
        <f t="shared" si="5"/>
        <v>3.0877192982456139</v>
      </c>
      <c r="Q43" s="15"/>
      <c r="R43" s="20"/>
      <c r="S43" s="123" t="s">
        <v>61</v>
      </c>
      <c r="T43" s="123" t="s">
        <v>61</v>
      </c>
      <c r="U43" s="123" t="s">
        <v>61</v>
      </c>
      <c r="V43" s="15"/>
      <c r="W43" s="20"/>
      <c r="X43" s="15">
        <v>176</v>
      </c>
      <c r="Y43" s="22">
        <v>8</v>
      </c>
      <c r="Z43" s="18" t="s">
        <v>37</v>
      </c>
      <c r="AA43" s="15" t="s">
        <v>54</v>
      </c>
      <c r="AB43" s="20"/>
      <c r="AC43" s="15" t="s">
        <v>58</v>
      </c>
      <c r="AD43" s="15" t="s">
        <v>142</v>
      </c>
      <c r="AE43" s="23" t="s">
        <v>143</v>
      </c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</row>
    <row r="44" spans="1:53" ht="14.25" x14ac:dyDescent="0.2">
      <c r="A44" s="13" t="s">
        <v>144</v>
      </c>
      <c r="B44" s="114">
        <v>130</v>
      </c>
      <c r="C44" s="17">
        <v>8</v>
      </c>
      <c r="D44" s="17">
        <v>47</v>
      </c>
      <c r="E44" s="116">
        <f t="shared" ref="E44:E47" si="12">ROUNDUP((C44/D44),2)</f>
        <v>0.18000000000000002</v>
      </c>
      <c r="F44" s="16"/>
      <c r="G44" s="15">
        <v>53.1</v>
      </c>
      <c r="H44" s="15">
        <f t="shared" si="0"/>
        <v>2.4482109227871938</v>
      </c>
      <c r="I44" s="13">
        <f t="shared" si="1"/>
        <v>3.3898305084745761</v>
      </c>
      <c r="J44" s="15">
        <v>90</v>
      </c>
      <c r="K44" s="15">
        <f t="shared" si="2"/>
        <v>1.4444444444444444</v>
      </c>
      <c r="L44" s="15">
        <f t="shared" si="3"/>
        <v>2</v>
      </c>
      <c r="M44" s="19"/>
      <c r="N44" s="17">
        <v>39.4</v>
      </c>
      <c r="O44" s="15">
        <f t="shared" si="4"/>
        <v>3.2994923857868019</v>
      </c>
      <c r="P44" s="13">
        <f t="shared" si="5"/>
        <v>4.5685279187817258</v>
      </c>
      <c r="Q44" s="15"/>
      <c r="R44" s="20"/>
      <c r="S44" s="123" t="s">
        <v>61</v>
      </c>
      <c r="T44" s="123" t="s">
        <v>61</v>
      </c>
      <c r="U44" s="123" t="s">
        <v>61</v>
      </c>
      <c r="V44" s="15"/>
      <c r="W44" s="20"/>
      <c r="X44" s="15">
        <v>180</v>
      </c>
      <c r="Y44" s="22">
        <v>8</v>
      </c>
      <c r="Z44" s="13" t="s">
        <v>32</v>
      </c>
      <c r="AA44" s="15"/>
      <c r="AB44" s="20"/>
      <c r="AC44" s="15" t="s">
        <v>58</v>
      </c>
      <c r="AD44" s="15"/>
      <c r="AE44" s="23" t="s">
        <v>145</v>
      </c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</row>
    <row r="45" spans="1:53" ht="14.25" x14ac:dyDescent="0.2">
      <c r="A45" s="39" t="s">
        <v>146</v>
      </c>
      <c r="B45" s="114">
        <v>50</v>
      </c>
      <c r="C45" s="17">
        <v>2</v>
      </c>
      <c r="D45" s="17">
        <v>34</v>
      </c>
      <c r="E45" s="116">
        <f t="shared" si="12"/>
        <v>6.0000000000000005E-2</v>
      </c>
      <c r="F45" s="16"/>
      <c r="G45" s="15">
        <v>35.299999999999997</v>
      </c>
      <c r="H45" s="15">
        <f t="shared" si="0"/>
        <v>1.41643059490085</v>
      </c>
      <c r="I45" s="13">
        <f t="shared" si="1"/>
        <v>5.2407932011331448</v>
      </c>
      <c r="J45" s="15">
        <v>61.7</v>
      </c>
      <c r="K45" s="15">
        <f t="shared" si="2"/>
        <v>0.81037277147487841</v>
      </c>
      <c r="L45" s="15">
        <f t="shared" si="3"/>
        <v>2.99837925445705</v>
      </c>
      <c r="M45" s="19"/>
      <c r="N45" s="17">
        <v>26</v>
      </c>
      <c r="O45" s="15">
        <f t="shared" si="4"/>
        <v>1.9230769230769231</v>
      </c>
      <c r="P45" s="13">
        <f t="shared" si="5"/>
        <v>7.115384615384615</v>
      </c>
      <c r="Q45" s="15"/>
      <c r="R45" s="20"/>
      <c r="S45" s="123" t="s">
        <v>61</v>
      </c>
      <c r="T45" s="123" t="s">
        <v>61</v>
      </c>
      <c r="U45" s="123" t="s">
        <v>61</v>
      </c>
      <c r="V45" s="15"/>
      <c r="W45" s="20"/>
      <c r="X45" s="15">
        <v>185</v>
      </c>
      <c r="Y45" s="22">
        <v>8</v>
      </c>
      <c r="Z45" s="13" t="s">
        <v>147</v>
      </c>
      <c r="AA45" s="15"/>
      <c r="AB45" s="20"/>
      <c r="AC45" s="15" t="s">
        <v>43</v>
      </c>
      <c r="AD45" s="15"/>
      <c r="AE45" s="23" t="s">
        <v>148</v>
      </c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</row>
    <row r="46" spans="1:53" ht="14.25" x14ac:dyDescent="0.2">
      <c r="A46" s="1" t="s">
        <v>149</v>
      </c>
      <c r="B46" s="120">
        <v>250</v>
      </c>
      <c r="C46" s="87">
        <v>3</v>
      </c>
      <c r="D46" s="87">
        <v>50</v>
      </c>
      <c r="E46" s="121">
        <f t="shared" si="12"/>
        <v>0.06</v>
      </c>
      <c r="F46" s="86"/>
      <c r="G46" s="3">
        <v>91.2</v>
      </c>
      <c r="H46" s="15">
        <f t="shared" si="0"/>
        <v>2.7412280701754383</v>
      </c>
      <c r="I46" s="13">
        <f t="shared" si="1"/>
        <v>2.1929824561403506</v>
      </c>
      <c r="J46" s="3">
        <v>148.5</v>
      </c>
      <c r="K46" s="15">
        <f t="shared" si="2"/>
        <v>1.6835016835016836</v>
      </c>
      <c r="L46" s="15">
        <f t="shared" si="3"/>
        <v>1.3468013468013469</v>
      </c>
      <c r="M46" s="19"/>
      <c r="N46" s="87">
        <v>69.900000000000006</v>
      </c>
      <c r="O46" s="15">
        <f t="shared" si="4"/>
        <v>3.5765379113018594</v>
      </c>
      <c r="P46" s="13">
        <f t="shared" si="5"/>
        <v>2.8612303290414878</v>
      </c>
      <c r="Q46" s="3"/>
      <c r="R46" s="20"/>
      <c r="S46" s="123" t="s">
        <v>61</v>
      </c>
      <c r="T46" s="123" t="s">
        <v>61</v>
      </c>
      <c r="U46" s="123" t="s">
        <v>61</v>
      </c>
      <c r="V46" s="3"/>
      <c r="W46" s="88"/>
      <c r="X46" s="3">
        <v>200</v>
      </c>
      <c r="Y46" s="11">
        <v>8</v>
      </c>
      <c r="Z46" s="89" t="s">
        <v>150</v>
      </c>
      <c r="AA46" s="3" t="s">
        <v>54</v>
      </c>
      <c r="AB46" s="88"/>
      <c r="AC46" s="3" t="s">
        <v>58</v>
      </c>
      <c r="AD46" s="3"/>
      <c r="AE46" s="90" t="s">
        <v>151</v>
      </c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</row>
    <row r="47" spans="1:53" ht="14.25" x14ac:dyDescent="0.2">
      <c r="A47" s="13" t="s">
        <v>152</v>
      </c>
      <c r="B47" s="114">
        <v>95</v>
      </c>
      <c r="C47" s="17">
        <v>2</v>
      </c>
      <c r="D47" s="17">
        <v>4</v>
      </c>
      <c r="E47" s="122">
        <f t="shared" si="12"/>
        <v>0.5</v>
      </c>
      <c r="F47" s="86"/>
      <c r="G47" s="15">
        <v>50.6</v>
      </c>
      <c r="H47" s="15">
        <f t="shared" si="0"/>
        <v>1.8774703557312253</v>
      </c>
      <c r="I47" s="13">
        <f t="shared" si="1"/>
        <v>4.150197628458498</v>
      </c>
      <c r="J47" s="15">
        <v>84.4</v>
      </c>
      <c r="K47" s="15">
        <f t="shared" si="2"/>
        <v>1.1255924170616114</v>
      </c>
      <c r="L47" s="15">
        <f t="shared" si="3"/>
        <v>2.4881516587677726</v>
      </c>
      <c r="M47" s="19"/>
      <c r="N47" s="17">
        <v>37</v>
      </c>
      <c r="O47" s="15">
        <f t="shared" si="4"/>
        <v>2.5675675675675675</v>
      </c>
      <c r="P47" s="13">
        <f t="shared" si="5"/>
        <v>5.6756756756756754</v>
      </c>
      <c r="Q47" s="15"/>
      <c r="R47" s="20"/>
      <c r="S47" s="123" t="s">
        <v>61</v>
      </c>
      <c r="T47" s="123" t="s">
        <v>61</v>
      </c>
      <c r="U47" s="123" t="s">
        <v>61</v>
      </c>
      <c r="V47" s="15"/>
      <c r="W47" s="88"/>
      <c r="X47" s="15">
        <v>210</v>
      </c>
      <c r="Y47" s="15">
        <v>8</v>
      </c>
      <c r="Z47" s="15" t="s">
        <v>153</v>
      </c>
      <c r="AA47" s="15"/>
      <c r="AB47" s="20"/>
      <c r="AC47" s="15" t="s">
        <v>58</v>
      </c>
      <c r="AD47" s="15"/>
      <c r="AE47" s="41" t="s">
        <v>154</v>
      </c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</row>
    <row r="48" spans="1:53" ht="14.25" x14ac:dyDescent="0.2">
      <c r="A48" s="82" t="s">
        <v>155</v>
      </c>
      <c r="B48" s="114">
        <v>449</v>
      </c>
      <c r="C48" s="17"/>
      <c r="D48" s="17"/>
      <c r="E48" s="29" t="s">
        <v>61</v>
      </c>
      <c r="F48" s="16"/>
      <c r="G48" s="21">
        <v>129.30000000000001</v>
      </c>
      <c r="H48" s="15">
        <f t="shared" si="0"/>
        <v>3.4725444702242845</v>
      </c>
      <c r="I48" s="13">
        <f t="shared" si="1"/>
        <v>2.0340293890177881</v>
      </c>
      <c r="J48" s="15">
        <v>179.1</v>
      </c>
      <c r="K48" s="15">
        <f t="shared" si="2"/>
        <v>2.5069793411501955</v>
      </c>
      <c r="L48" s="15">
        <f t="shared" si="3"/>
        <v>1.4684533780011166</v>
      </c>
      <c r="M48" s="30"/>
      <c r="N48" s="17">
        <v>105.8</v>
      </c>
      <c r="O48" s="17">
        <f t="shared" si="4"/>
        <v>4.2438563327032135</v>
      </c>
      <c r="P48" s="29">
        <f t="shared" si="5"/>
        <v>2.4858223062381852</v>
      </c>
      <c r="Q48" s="17"/>
      <c r="R48" s="16"/>
      <c r="S48" s="40">
        <v>62.3</v>
      </c>
      <c r="T48" s="17">
        <f>B48/S48</f>
        <v>7.2070626003210272</v>
      </c>
      <c r="U48" s="17">
        <f>X48/S48</f>
        <v>4.2215088282504016</v>
      </c>
      <c r="V48" s="15"/>
      <c r="W48" s="20"/>
      <c r="X48" s="15">
        <v>263</v>
      </c>
      <c r="Y48" s="22">
        <v>16</v>
      </c>
      <c r="Z48" s="13" t="s">
        <v>37</v>
      </c>
      <c r="AA48" s="15"/>
      <c r="AB48" s="20"/>
      <c r="AC48" s="15" t="s">
        <v>156</v>
      </c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</row>
    <row r="49" spans="1:53" ht="14.25" x14ac:dyDescent="0.2">
      <c r="A49" s="13"/>
      <c r="B49" s="14"/>
      <c r="C49" s="15"/>
      <c r="D49" s="15"/>
      <c r="E49" s="91"/>
      <c r="F49" s="17"/>
      <c r="G49" s="17"/>
      <c r="H49" s="15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40"/>
      <c r="T49" s="17"/>
      <c r="U49" s="17"/>
      <c r="V49" s="15"/>
      <c r="W49" s="92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</row>
    <row r="50" spans="1:53" ht="14.25" x14ac:dyDescent="0.2">
      <c r="A50" s="13"/>
      <c r="B50" s="14"/>
      <c r="C50" s="15"/>
      <c r="D50" s="15"/>
      <c r="E50" s="91"/>
      <c r="F50" s="17"/>
      <c r="G50" s="17"/>
      <c r="H50" s="15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40"/>
      <c r="T50" s="17"/>
      <c r="U50" s="17"/>
      <c r="V50" s="15"/>
      <c r="W50" s="92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</row>
    <row r="51" spans="1:53" ht="14.25" x14ac:dyDescent="0.2">
      <c r="A51" s="13"/>
      <c r="B51" s="14"/>
      <c r="C51" s="15"/>
      <c r="D51" s="15"/>
      <c r="F51" s="17"/>
      <c r="G51" s="17"/>
      <c r="H51" s="15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40"/>
      <c r="T51" s="17"/>
      <c r="U51" s="17"/>
      <c r="V51" s="15"/>
      <c r="W51" s="92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</row>
    <row r="52" spans="1:53" ht="14.25" x14ac:dyDescent="0.2">
      <c r="A52" s="13"/>
      <c r="B52" s="14" t="s">
        <v>157</v>
      </c>
      <c r="C52" s="15"/>
      <c r="D52" s="15"/>
      <c r="E52" s="91"/>
      <c r="F52" s="17"/>
      <c r="G52" s="17"/>
      <c r="H52" s="15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40"/>
      <c r="T52" s="17"/>
      <c r="U52" s="17"/>
      <c r="V52" s="15"/>
      <c r="W52" s="92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</row>
    <row r="53" spans="1:53" ht="14.25" x14ac:dyDescent="0.2">
      <c r="A53" s="13"/>
      <c r="B53" s="93"/>
      <c r="C53" s="15"/>
      <c r="D53" s="15"/>
      <c r="E53" s="91"/>
      <c r="F53" s="17"/>
      <c r="G53" s="17"/>
      <c r="H53" s="15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40"/>
      <c r="T53" s="17"/>
      <c r="U53" s="17"/>
      <c r="V53" s="15"/>
      <c r="W53" s="92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</row>
    <row r="54" spans="1:53" ht="14.25" x14ac:dyDescent="0.2">
      <c r="A54" s="13"/>
      <c r="B54" s="14"/>
      <c r="C54" s="15"/>
      <c r="D54" s="15"/>
      <c r="E54" s="15"/>
      <c r="F54" s="17"/>
      <c r="G54" s="17"/>
      <c r="H54" s="15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40"/>
      <c r="T54" s="17"/>
      <c r="U54" s="17"/>
      <c r="V54" s="15"/>
      <c r="W54" s="92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</row>
    <row r="55" spans="1:53" ht="14.25" x14ac:dyDescent="0.2">
      <c r="A55" s="13"/>
      <c r="B55" s="14"/>
      <c r="C55" s="15"/>
      <c r="D55" s="15"/>
      <c r="E55" s="15" t="s">
        <v>158</v>
      </c>
      <c r="F55" s="17"/>
      <c r="G55" s="17"/>
      <c r="H55" s="15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40"/>
      <c r="T55" s="17"/>
      <c r="U55" s="17"/>
      <c r="V55" s="15"/>
      <c r="W55" s="92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</row>
    <row r="56" spans="1:53" ht="14.25" x14ac:dyDescent="0.2">
      <c r="A56" s="13"/>
      <c r="B56" s="14"/>
      <c r="C56" s="15"/>
      <c r="D56" s="15"/>
      <c r="E56" s="91"/>
      <c r="F56" s="17"/>
      <c r="G56" s="17"/>
      <c r="H56" s="15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40"/>
      <c r="T56" s="17"/>
      <c r="U56" s="17"/>
      <c r="V56" s="15"/>
      <c r="W56" s="92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</row>
    <row r="57" spans="1:53" ht="14.25" x14ac:dyDescent="0.2">
      <c r="A57" s="13"/>
      <c r="B57" s="14"/>
      <c r="C57" s="15"/>
      <c r="D57" s="15"/>
      <c r="E57" s="91"/>
      <c r="F57" s="17"/>
      <c r="G57" s="17"/>
      <c r="H57" s="15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40"/>
      <c r="T57" s="17"/>
      <c r="U57" s="17"/>
      <c r="V57" s="15"/>
      <c r="W57" s="92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</row>
    <row r="58" spans="1:53" ht="14.25" x14ac:dyDescent="0.2">
      <c r="A58" s="13"/>
      <c r="B58" s="14"/>
      <c r="C58" s="15" t="s">
        <v>159</v>
      </c>
      <c r="D58" s="15"/>
      <c r="E58" s="91"/>
      <c r="F58" s="15"/>
      <c r="G58" s="15"/>
      <c r="H58" s="15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40"/>
      <c r="T58" s="17"/>
      <c r="U58" s="17"/>
      <c r="V58" s="15"/>
      <c r="W58" s="92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</row>
    <row r="59" spans="1:53" ht="14.25" x14ac:dyDescent="0.2">
      <c r="A59" s="13"/>
      <c r="B59" s="14"/>
      <c r="C59" s="15" t="s">
        <v>160</v>
      </c>
      <c r="D59" s="15"/>
      <c r="E59" s="91"/>
      <c r="F59" s="94"/>
      <c r="G59" s="94" t="s">
        <v>161</v>
      </c>
      <c r="H59" s="15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40"/>
      <c r="T59" s="17"/>
      <c r="U59" s="17"/>
      <c r="V59" s="15"/>
      <c r="W59" s="92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</row>
    <row r="60" spans="1:53" ht="14.25" x14ac:dyDescent="0.2">
      <c r="A60" s="13"/>
      <c r="B60" s="14"/>
      <c r="C60" s="15" t="s">
        <v>162</v>
      </c>
      <c r="D60" s="15"/>
      <c r="E60" s="91"/>
      <c r="F60" s="17"/>
      <c r="G60" s="17"/>
      <c r="H60" s="15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40"/>
      <c r="T60" s="17"/>
      <c r="U60" s="17"/>
      <c r="V60" s="15"/>
      <c r="W60" s="92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</row>
    <row r="61" spans="1:53" ht="14.25" x14ac:dyDescent="0.2">
      <c r="A61" s="13"/>
      <c r="B61" s="14"/>
      <c r="C61" s="15"/>
      <c r="D61" s="15"/>
      <c r="E61" s="91"/>
      <c r="F61" s="17"/>
      <c r="G61" s="17"/>
      <c r="H61" s="15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40"/>
      <c r="T61" s="17"/>
      <c r="U61" s="17"/>
      <c r="V61" s="15"/>
      <c r="W61" s="92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</row>
    <row r="62" spans="1:53" ht="14.25" x14ac:dyDescent="0.2">
      <c r="A62" s="13"/>
      <c r="B62" s="14"/>
      <c r="C62" s="15"/>
      <c r="D62" s="15"/>
      <c r="E62" s="91"/>
      <c r="F62" s="17"/>
      <c r="G62" s="17"/>
      <c r="H62" s="15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40"/>
      <c r="T62" s="17"/>
      <c r="U62" s="17"/>
      <c r="V62" s="15"/>
      <c r="W62" s="92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</row>
    <row r="63" spans="1:53" ht="14.25" x14ac:dyDescent="0.2">
      <c r="A63" s="13"/>
      <c r="B63" s="14"/>
      <c r="C63" s="15"/>
      <c r="D63" s="15"/>
      <c r="E63" s="91"/>
      <c r="F63" s="17"/>
      <c r="G63" s="17"/>
      <c r="H63" s="15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40"/>
      <c r="T63" s="17"/>
      <c r="U63" s="17"/>
      <c r="V63" s="15"/>
      <c r="W63" s="92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</row>
    <row r="64" spans="1:53" ht="14.25" x14ac:dyDescent="0.2">
      <c r="A64" s="13"/>
      <c r="B64" s="14"/>
      <c r="C64" s="15"/>
      <c r="D64" s="15"/>
      <c r="E64" s="91"/>
      <c r="F64" s="17"/>
      <c r="G64" s="17"/>
      <c r="H64" s="15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40"/>
      <c r="T64" s="17"/>
      <c r="U64" s="17"/>
      <c r="V64" s="15"/>
      <c r="W64" s="92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</row>
    <row r="65" spans="1:53" ht="14.25" x14ac:dyDescent="0.2">
      <c r="A65" s="13"/>
      <c r="B65" s="14"/>
      <c r="C65" s="15"/>
      <c r="D65" s="15"/>
      <c r="E65" s="91"/>
      <c r="F65" s="17"/>
      <c r="G65" s="17"/>
      <c r="H65" s="15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40"/>
      <c r="T65" s="17"/>
      <c r="U65" s="17"/>
      <c r="V65" s="15"/>
      <c r="W65" s="92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</row>
    <row r="66" spans="1:53" ht="14.25" x14ac:dyDescent="0.2">
      <c r="A66" s="13"/>
      <c r="B66" s="14"/>
      <c r="C66" s="15"/>
      <c r="D66" s="15"/>
      <c r="E66" s="91"/>
      <c r="F66" s="17"/>
      <c r="G66" s="17"/>
      <c r="H66" s="15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40"/>
      <c r="T66" s="17"/>
      <c r="U66" s="17"/>
      <c r="V66" s="15"/>
      <c r="W66" s="92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</row>
    <row r="67" spans="1:53" ht="14.25" x14ac:dyDescent="0.2">
      <c r="A67" s="13"/>
      <c r="B67" s="14"/>
      <c r="C67" s="15"/>
      <c r="D67" s="15"/>
      <c r="E67" s="91"/>
      <c r="F67" s="17"/>
      <c r="G67" s="17"/>
      <c r="H67" s="15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40"/>
      <c r="T67" s="17"/>
      <c r="U67" s="17"/>
      <c r="V67" s="15"/>
      <c r="W67" s="92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</row>
    <row r="68" spans="1:53" ht="14.25" x14ac:dyDescent="0.2">
      <c r="A68" s="13"/>
      <c r="B68" s="14"/>
      <c r="C68" s="15"/>
      <c r="D68" s="15"/>
      <c r="E68" s="91"/>
      <c r="F68" s="17"/>
      <c r="G68" s="17"/>
      <c r="H68" s="15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40"/>
      <c r="T68" s="17"/>
      <c r="U68" s="17"/>
      <c r="V68" s="15"/>
      <c r="W68" s="92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</row>
    <row r="69" spans="1:53" ht="14.25" x14ac:dyDescent="0.2">
      <c r="A69" s="13"/>
      <c r="B69" s="14"/>
      <c r="C69" s="15"/>
      <c r="D69" s="15"/>
      <c r="E69" s="91"/>
      <c r="F69" s="17"/>
      <c r="G69" s="17"/>
      <c r="H69" s="15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40"/>
      <c r="T69" s="17"/>
      <c r="U69" s="17"/>
      <c r="V69" s="15"/>
      <c r="W69" s="92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</row>
    <row r="70" spans="1:53" ht="14.25" x14ac:dyDescent="0.2">
      <c r="A70" s="13"/>
      <c r="B70" s="14"/>
      <c r="C70" s="15"/>
      <c r="D70" s="15"/>
      <c r="E70" s="91"/>
      <c r="F70" s="17"/>
      <c r="G70" s="17"/>
      <c r="H70" s="15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40"/>
      <c r="T70" s="17"/>
      <c r="U70" s="17"/>
      <c r="V70" s="15"/>
      <c r="W70" s="92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</row>
    <row r="71" spans="1:53" ht="14.25" x14ac:dyDescent="0.2">
      <c r="A71" s="13"/>
      <c r="B71" s="14"/>
      <c r="C71" s="15"/>
      <c r="D71" s="15"/>
      <c r="E71" s="91"/>
      <c r="F71" s="17"/>
      <c r="G71" s="17"/>
      <c r="H71" s="15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40"/>
      <c r="T71" s="17"/>
      <c r="U71" s="17"/>
      <c r="V71" s="15"/>
      <c r="W71" s="92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</row>
    <row r="72" spans="1:53" ht="14.25" x14ac:dyDescent="0.2">
      <c r="A72" s="13"/>
      <c r="B72" s="14"/>
      <c r="C72" s="15"/>
      <c r="D72" s="15"/>
      <c r="E72" s="91"/>
      <c r="F72" s="17"/>
      <c r="G72" s="17"/>
      <c r="H72" s="15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40"/>
      <c r="T72" s="17"/>
      <c r="U72" s="17"/>
      <c r="V72" s="15"/>
      <c r="W72" s="92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</row>
    <row r="73" spans="1:53" ht="14.25" x14ac:dyDescent="0.2">
      <c r="A73" s="13"/>
      <c r="B73" s="14"/>
      <c r="C73" s="15"/>
      <c r="D73" s="15"/>
      <c r="E73" s="91"/>
      <c r="F73" s="17"/>
      <c r="G73" s="17"/>
      <c r="H73" s="15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40"/>
      <c r="T73" s="17"/>
      <c r="U73" s="17"/>
      <c r="V73" s="15"/>
      <c r="W73" s="92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</row>
    <row r="74" spans="1:53" ht="14.25" x14ac:dyDescent="0.2">
      <c r="A74" s="13"/>
      <c r="B74" s="14"/>
      <c r="C74" s="15"/>
      <c r="D74" s="15"/>
      <c r="E74" s="91"/>
      <c r="F74" s="17"/>
      <c r="G74" s="17"/>
      <c r="H74" s="15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40"/>
      <c r="T74" s="17"/>
      <c r="U74" s="17"/>
      <c r="V74" s="15"/>
      <c r="W74" s="92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</row>
    <row r="75" spans="1:53" ht="14.25" x14ac:dyDescent="0.2">
      <c r="A75" s="13"/>
      <c r="B75" s="14"/>
      <c r="C75" s="15"/>
      <c r="D75" s="15"/>
      <c r="E75" s="91"/>
      <c r="F75" s="17"/>
      <c r="G75" s="17"/>
      <c r="H75" s="15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40"/>
      <c r="T75" s="17"/>
      <c r="U75" s="17"/>
      <c r="V75" s="15"/>
      <c r="W75" s="92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</row>
    <row r="76" spans="1:53" ht="14.25" x14ac:dyDescent="0.2">
      <c r="A76" s="13"/>
      <c r="B76" s="14"/>
      <c r="C76" s="15"/>
      <c r="D76" s="15"/>
      <c r="E76" s="91"/>
      <c r="F76" s="17"/>
      <c r="G76" s="17"/>
      <c r="H76" s="15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40"/>
      <c r="T76" s="17"/>
      <c r="U76" s="17"/>
      <c r="V76" s="15"/>
      <c r="W76" s="92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</row>
    <row r="77" spans="1:53" ht="14.25" x14ac:dyDescent="0.2">
      <c r="A77" s="13"/>
      <c r="B77" s="14"/>
      <c r="C77" s="15"/>
      <c r="D77" s="15"/>
      <c r="E77" s="91"/>
      <c r="F77" s="17"/>
      <c r="G77" s="17"/>
      <c r="H77" s="15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40"/>
      <c r="T77" s="17"/>
      <c r="U77" s="17"/>
      <c r="V77" s="15"/>
      <c r="W77" s="92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</row>
    <row r="78" spans="1:53" ht="14.25" x14ac:dyDescent="0.2">
      <c r="A78" s="13"/>
      <c r="B78" s="14"/>
      <c r="C78" s="15"/>
      <c r="D78" s="15"/>
      <c r="E78" s="91"/>
      <c r="F78" s="17"/>
      <c r="G78" s="17"/>
      <c r="H78" s="15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40"/>
      <c r="T78" s="17"/>
      <c r="U78" s="17"/>
      <c r="V78" s="15"/>
      <c r="W78" s="92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</row>
    <row r="79" spans="1:53" ht="14.25" x14ac:dyDescent="0.2">
      <c r="A79" s="13"/>
      <c r="B79" s="14"/>
      <c r="C79" s="15"/>
      <c r="D79" s="15"/>
      <c r="E79" s="91"/>
      <c r="F79" s="17"/>
      <c r="G79" s="17"/>
      <c r="H79" s="15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40"/>
      <c r="T79" s="17"/>
      <c r="U79" s="17"/>
      <c r="V79" s="15"/>
      <c r="W79" s="92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</row>
    <row r="80" spans="1:53" ht="14.25" x14ac:dyDescent="0.2">
      <c r="A80" s="13"/>
      <c r="B80" s="14"/>
      <c r="C80" s="15"/>
      <c r="D80" s="15"/>
      <c r="E80" s="91"/>
      <c r="F80" s="17"/>
      <c r="G80" s="17"/>
      <c r="H80" s="15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40"/>
      <c r="T80" s="17"/>
      <c r="U80" s="17"/>
      <c r="V80" s="15"/>
      <c r="W80" s="92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</row>
    <row r="81" spans="1:53" ht="14.25" x14ac:dyDescent="0.2">
      <c r="A81" s="13"/>
      <c r="B81" s="14"/>
      <c r="C81" s="15"/>
      <c r="D81" s="15"/>
      <c r="E81" s="91"/>
      <c r="F81" s="17"/>
      <c r="G81" s="17"/>
      <c r="H81" s="15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40"/>
      <c r="T81" s="17"/>
      <c r="U81" s="17"/>
      <c r="V81" s="15"/>
      <c r="W81" s="92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</row>
    <row r="82" spans="1:53" ht="14.25" x14ac:dyDescent="0.2">
      <c r="A82" s="13"/>
      <c r="B82" s="14"/>
      <c r="C82" s="15"/>
      <c r="D82" s="15"/>
      <c r="E82" s="91"/>
      <c r="F82" s="17"/>
      <c r="G82" s="17"/>
      <c r="H82" s="15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40"/>
      <c r="T82" s="17"/>
      <c r="U82" s="17"/>
      <c r="V82" s="15"/>
      <c r="W82" s="92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</row>
    <row r="83" spans="1:53" ht="14.25" x14ac:dyDescent="0.2">
      <c r="A83" s="13"/>
      <c r="B83" s="14"/>
      <c r="C83" s="15"/>
      <c r="D83" s="15"/>
      <c r="E83" s="91"/>
      <c r="F83" s="17"/>
      <c r="G83" s="17"/>
      <c r="H83" s="15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40"/>
      <c r="T83" s="17"/>
      <c r="U83" s="17"/>
      <c r="V83" s="15"/>
      <c r="W83" s="92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</row>
    <row r="84" spans="1:53" ht="14.25" x14ac:dyDescent="0.2">
      <c r="A84" s="13"/>
      <c r="B84" s="14"/>
      <c r="C84" s="15"/>
      <c r="D84" s="15"/>
      <c r="E84" s="91"/>
      <c r="F84" s="17"/>
      <c r="G84" s="17"/>
      <c r="H84" s="15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40"/>
      <c r="T84" s="17"/>
      <c r="U84" s="17"/>
      <c r="V84" s="15"/>
      <c r="W84" s="92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</row>
    <row r="85" spans="1:53" ht="14.25" x14ac:dyDescent="0.2">
      <c r="A85" s="13"/>
      <c r="B85" s="14"/>
      <c r="C85" s="15"/>
      <c r="D85" s="15"/>
      <c r="E85" s="91"/>
      <c r="F85" s="17"/>
      <c r="G85" s="17"/>
      <c r="H85" s="15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40"/>
      <c r="T85" s="17"/>
      <c r="U85" s="17"/>
      <c r="V85" s="15"/>
      <c r="W85" s="92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</row>
    <row r="86" spans="1:53" ht="14.25" x14ac:dyDescent="0.2">
      <c r="A86" s="13"/>
      <c r="B86" s="14"/>
      <c r="C86" s="15"/>
      <c r="D86" s="15"/>
      <c r="E86" s="91"/>
      <c r="F86" s="17"/>
      <c r="G86" s="17"/>
      <c r="H86" s="15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40"/>
      <c r="T86" s="17"/>
      <c r="U86" s="17"/>
      <c r="V86" s="15"/>
      <c r="W86" s="92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</row>
    <row r="87" spans="1:53" ht="14.25" x14ac:dyDescent="0.2">
      <c r="A87" s="13"/>
      <c r="B87" s="14"/>
      <c r="C87" s="15"/>
      <c r="D87" s="15"/>
      <c r="E87" s="91"/>
      <c r="F87" s="17"/>
      <c r="G87" s="17"/>
      <c r="H87" s="15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40"/>
      <c r="T87" s="17"/>
      <c r="U87" s="17"/>
      <c r="V87" s="15"/>
      <c r="W87" s="92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</row>
    <row r="88" spans="1:53" ht="14.25" x14ac:dyDescent="0.2">
      <c r="A88" s="13"/>
      <c r="B88" s="14"/>
      <c r="C88" s="15"/>
      <c r="D88" s="15"/>
      <c r="E88" s="91"/>
      <c r="F88" s="17"/>
      <c r="G88" s="17"/>
      <c r="H88" s="15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40"/>
      <c r="T88" s="17"/>
      <c r="U88" s="17"/>
      <c r="V88" s="15"/>
      <c r="W88" s="92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</row>
    <row r="89" spans="1:53" ht="14.25" x14ac:dyDescent="0.2">
      <c r="A89" s="13"/>
      <c r="B89" s="14"/>
      <c r="C89" s="15"/>
      <c r="D89" s="15"/>
      <c r="E89" s="91"/>
      <c r="F89" s="17"/>
      <c r="G89" s="17"/>
      <c r="H89" s="15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40"/>
      <c r="T89" s="17"/>
      <c r="U89" s="17"/>
      <c r="V89" s="15"/>
      <c r="W89" s="92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</row>
    <row r="90" spans="1:53" ht="14.25" x14ac:dyDescent="0.2">
      <c r="A90" s="13"/>
      <c r="B90" s="14"/>
      <c r="C90" s="15"/>
      <c r="D90" s="15"/>
      <c r="E90" s="91"/>
      <c r="F90" s="17"/>
      <c r="G90" s="17"/>
      <c r="H90" s="15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40"/>
      <c r="T90" s="17"/>
      <c r="U90" s="17"/>
      <c r="V90" s="15"/>
      <c r="W90" s="92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</row>
    <row r="91" spans="1:53" ht="14.25" x14ac:dyDescent="0.2">
      <c r="A91" s="13"/>
      <c r="B91" s="14"/>
      <c r="C91" s="15"/>
      <c r="D91" s="15"/>
      <c r="E91" s="91"/>
      <c r="F91" s="17"/>
      <c r="G91" s="17"/>
      <c r="H91" s="15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40"/>
      <c r="T91" s="17"/>
      <c r="U91" s="17"/>
      <c r="V91" s="15"/>
      <c r="W91" s="92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</row>
    <row r="92" spans="1:53" ht="14.25" x14ac:dyDescent="0.2">
      <c r="A92" s="13"/>
      <c r="B92" s="14"/>
      <c r="C92" s="15"/>
      <c r="D92" s="15"/>
      <c r="E92" s="91"/>
      <c r="F92" s="17"/>
      <c r="G92" s="17"/>
      <c r="H92" s="15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40"/>
      <c r="T92" s="17"/>
      <c r="U92" s="17"/>
      <c r="V92" s="15"/>
      <c r="W92" s="92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</row>
    <row r="93" spans="1:53" ht="14.25" x14ac:dyDescent="0.2">
      <c r="A93" s="13"/>
      <c r="B93" s="14"/>
      <c r="C93" s="15"/>
      <c r="D93" s="15"/>
      <c r="E93" s="91"/>
      <c r="F93" s="17"/>
      <c r="G93" s="17"/>
      <c r="H93" s="15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40"/>
      <c r="T93" s="17"/>
      <c r="U93" s="17"/>
      <c r="V93" s="15"/>
      <c r="W93" s="92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</row>
    <row r="94" spans="1:53" ht="14.25" x14ac:dyDescent="0.2">
      <c r="A94" s="13"/>
      <c r="B94" s="14"/>
      <c r="C94" s="15"/>
      <c r="D94" s="15"/>
      <c r="E94" s="91"/>
      <c r="F94" s="17"/>
      <c r="G94" s="17"/>
      <c r="H94" s="15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40"/>
      <c r="T94" s="17"/>
      <c r="U94" s="17"/>
      <c r="V94" s="15"/>
      <c r="W94" s="92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</row>
    <row r="95" spans="1:53" ht="14.25" x14ac:dyDescent="0.2">
      <c r="A95" s="13"/>
      <c r="B95" s="14"/>
      <c r="C95" s="15"/>
      <c r="D95" s="15"/>
      <c r="E95" s="91"/>
      <c r="F95" s="17"/>
      <c r="G95" s="17"/>
      <c r="H95" s="15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40"/>
      <c r="T95" s="17"/>
      <c r="U95" s="17"/>
      <c r="V95" s="15"/>
      <c r="W95" s="92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</row>
    <row r="96" spans="1:53" ht="14.25" x14ac:dyDescent="0.2">
      <c r="A96" s="13"/>
      <c r="B96" s="14"/>
      <c r="C96" s="15"/>
      <c r="D96" s="15"/>
      <c r="E96" s="91"/>
      <c r="F96" s="17"/>
      <c r="G96" s="17"/>
      <c r="H96" s="15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40"/>
      <c r="T96" s="17"/>
      <c r="U96" s="17"/>
      <c r="V96" s="15"/>
      <c r="W96" s="92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</row>
    <row r="97" spans="1:53" ht="14.25" x14ac:dyDescent="0.2">
      <c r="A97" s="13"/>
      <c r="B97" s="14"/>
      <c r="C97" s="15"/>
      <c r="D97" s="15"/>
      <c r="E97" s="91"/>
      <c r="F97" s="17"/>
      <c r="G97" s="17"/>
      <c r="H97" s="15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40"/>
      <c r="T97" s="17"/>
      <c r="U97" s="17"/>
      <c r="V97" s="15"/>
      <c r="W97" s="92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</row>
    <row r="98" spans="1:53" ht="14.25" x14ac:dyDescent="0.2">
      <c r="A98" s="13"/>
      <c r="B98" s="14"/>
      <c r="C98" s="15"/>
      <c r="D98" s="15"/>
      <c r="E98" s="91"/>
      <c r="F98" s="17"/>
      <c r="G98" s="17"/>
      <c r="H98" s="15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40"/>
      <c r="T98" s="17"/>
      <c r="U98" s="17"/>
      <c r="V98" s="15"/>
      <c r="W98" s="92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</row>
    <row r="99" spans="1:53" ht="14.25" x14ac:dyDescent="0.2">
      <c r="A99" s="13"/>
      <c r="B99" s="14"/>
      <c r="C99" s="15"/>
      <c r="D99" s="15"/>
      <c r="E99" s="91"/>
      <c r="F99" s="17"/>
      <c r="G99" s="17"/>
      <c r="H99" s="15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40"/>
      <c r="T99" s="17"/>
      <c r="U99" s="17"/>
      <c r="V99" s="15"/>
      <c r="W99" s="92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</row>
    <row r="100" spans="1:53" ht="14.25" x14ac:dyDescent="0.2">
      <c r="A100" s="13"/>
      <c r="B100" s="14"/>
      <c r="C100" s="15"/>
      <c r="D100" s="15"/>
      <c r="E100" s="91"/>
      <c r="F100" s="17"/>
      <c r="G100" s="17"/>
      <c r="H100" s="15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40"/>
      <c r="T100" s="17"/>
      <c r="U100" s="17"/>
      <c r="V100" s="15"/>
      <c r="W100" s="92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</row>
    <row r="101" spans="1:53" ht="14.25" x14ac:dyDescent="0.2">
      <c r="A101" s="13"/>
      <c r="B101" s="14"/>
      <c r="C101" s="15"/>
      <c r="D101" s="15"/>
      <c r="E101" s="91"/>
      <c r="F101" s="17"/>
      <c r="G101" s="17"/>
      <c r="H101" s="15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40"/>
      <c r="T101" s="17"/>
      <c r="U101" s="17"/>
      <c r="V101" s="15"/>
      <c r="W101" s="92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</row>
    <row r="102" spans="1:53" ht="14.25" x14ac:dyDescent="0.2">
      <c r="A102" s="13"/>
      <c r="B102" s="14"/>
      <c r="C102" s="15"/>
      <c r="D102" s="15"/>
      <c r="E102" s="91"/>
      <c r="F102" s="17"/>
      <c r="G102" s="17"/>
      <c r="H102" s="15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40"/>
      <c r="T102" s="17"/>
      <c r="U102" s="17"/>
      <c r="V102" s="15"/>
      <c r="W102" s="92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</row>
    <row r="103" spans="1:53" ht="14.25" x14ac:dyDescent="0.2">
      <c r="A103" s="13"/>
      <c r="B103" s="14"/>
      <c r="C103" s="15"/>
      <c r="D103" s="15"/>
      <c r="E103" s="91"/>
      <c r="F103" s="17"/>
      <c r="G103" s="17"/>
      <c r="H103" s="15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40"/>
      <c r="T103" s="17"/>
      <c r="U103" s="17"/>
      <c r="V103" s="15"/>
      <c r="W103" s="92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</row>
    <row r="104" spans="1:53" ht="14.25" x14ac:dyDescent="0.2">
      <c r="A104" s="13"/>
      <c r="B104" s="14"/>
      <c r="C104" s="15"/>
      <c r="D104" s="15"/>
      <c r="E104" s="91"/>
      <c r="F104" s="17"/>
      <c r="G104" s="17"/>
      <c r="H104" s="15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40"/>
      <c r="T104" s="17"/>
      <c r="U104" s="17"/>
      <c r="V104" s="15"/>
      <c r="W104" s="92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</row>
    <row r="105" spans="1:53" ht="14.25" x14ac:dyDescent="0.2">
      <c r="A105" s="13"/>
      <c r="B105" s="14"/>
      <c r="C105" s="15"/>
      <c r="D105" s="15"/>
      <c r="E105" s="91"/>
      <c r="F105" s="17"/>
      <c r="G105" s="17"/>
      <c r="H105" s="15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40"/>
      <c r="T105" s="17"/>
      <c r="U105" s="17"/>
      <c r="V105" s="15"/>
      <c r="W105" s="92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</row>
    <row r="106" spans="1:53" ht="14.25" x14ac:dyDescent="0.2">
      <c r="A106" s="13"/>
      <c r="B106" s="14"/>
      <c r="C106" s="15"/>
      <c r="D106" s="15"/>
      <c r="E106" s="91"/>
      <c r="F106" s="17"/>
      <c r="G106" s="17"/>
      <c r="H106" s="15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40"/>
      <c r="T106" s="17"/>
      <c r="U106" s="17"/>
      <c r="V106" s="15"/>
      <c r="W106" s="92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</row>
    <row r="107" spans="1:53" ht="14.25" x14ac:dyDescent="0.2">
      <c r="A107" s="13"/>
      <c r="B107" s="14"/>
      <c r="C107" s="15"/>
      <c r="D107" s="15"/>
      <c r="E107" s="91"/>
      <c r="F107" s="17"/>
      <c r="G107" s="17"/>
      <c r="H107" s="15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40"/>
      <c r="T107" s="17"/>
      <c r="U107" s="17"/>
      <c r="V107" s="15"/>
      <c r="W107" s="92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</row>
    <row r="108" spans="1:53" ht="14.25" x14ac:dyDescent="0.2">
      <c r="A108" s="13"/>
      <c r="B108" s="14"/>
      <c r="C108" s="15"/>
      <c r="D108" s="15"/>
      <c r="E108" s="91"/>
      <c r="F108" s="17"/>
      <c r="G108" s="17"/>
      <c r="H108" s="15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40"/>
      <c r="T108" s="17"/>
      <c r="U108" s="17"/>
      <c r="V108" s="15"/>
      <c r="W108" s="92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</row>
    <row r="109" spans="1:53" ht="14.25" x14ac:dyDescent="0.2">
      <c r="A109" s="13"/>
      <c r="B109" s="14"/>
      <c r="C109" s="15"/>
      <c r="D109" s="15"/>
      <c r="E109" s="91"/>
      <c r="F109" s="17"/>
      <c r="G109" s="17"/>
      <c r="H109" s="15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40"/>
      <c r="T109" s="17"/>
      <c r="U109" s="17"/>
      <c r="V109" s="15"/>
      <c r="W109" s="92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</row>
    <row r="110" spans="1:53" ht="14.25" x14ac:dyDescent="0.2">
      <c r="A110" s="13"/>
      <c r="B110" s="14"/>
      <c r="C110" s="15"/>
      <c r="D110" s="15"/>
      <c r="E110" s="91"/>
      <c r="F110" s="17"/>
      <c r="G110" s="17"/>
      <c r="H110" s="15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40"/>
      <c r="T110" s="17"/>
      <c r="U110" s="17"/>
      <c r="V110" s="15"/>
      <c r="W110" s="92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</row>
    <row r="111" spans="1:53" ht="14.25" x14ac:dyDescent="0.2">
      <c r="A111" s="13"/>
      <c r="B111" s="14"/>
      <c r="C111" s="15"/>
      <c r="D111" s="15"/>
      <c r="E111" s="91"/>
      <c r="F111" s="17"/>
      <c r="G111" s="17"/>
      <c r="H111" s="15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40"/>
      <c r="T111" s="17"/>
      <c r="U111" s="17"/>
      <c r="V111" s="15"/>
      <c r="W111" s="92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</row>
    <row r="112" spans="1:53" ht="14.25" x14ac:dyDescent="0.2">
      <c r="A112" s="13"/>
      <c r="B112" s="14"/>
      <c r="C112" s="15"/>
      <c r="D112" s="15"/>
      <c r="E112" s="91"/>
      <c r="F112" s="17"/>
      <c r="G112" s="17"/>
      <c r="H112" s="15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40"/>
      <c r="T112" s="17"/>
      <c r="U112" s="17"/>
      <c r="V112" s="15"/>
      <c r="W112" s="92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</row>
    <row r="113" spans="1:53" ht="14.25" x14ac:dyDescent="0.2">
      <c r="A113" s="13"/>
      <c r="B113" s="14"/>
      <c r="C113" s="15"/>
      <c r="D113" s="15"/>
      <c r="E113" s="91"/>
      <c r="F113" s="17"/>
      <c r="G113" s="17"/>
      <c r="H113" s="15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40"/>
      <c r="T113" s="17"/>
      <c r="U113" s="17"/>
      <c r="V113" s="15"/>
      <c r="W113" s="92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</row>
    <row r="114" spans="1:53" ht="14.25" x14ac:dyDescent="0.2">
      <c r="A114" s="13"/>
      <c r="B114" s="14"/>
      <c r="C114" s="15"/>
      <c r="D114" s="15"/>
      <c r="E114" s="91"/>
      <c r="F114" s="17"/>
      <c r="G114" s="17"/>
      <c r="H114" s="15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40"/>
      <c r="T114" s="17"/>
      <c r="U114" s="17"/>
      <c r="V114" s="15"/>
      <c r="W114" s="92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</row>
    <row r="115" spans="1:53" ht="14.25" x14ac:dyDescent="0.2">
      <c r="A115" s="13"/>
      <c r="B115" s="14"/>
      <c r="C115" s="15"/>
      <c r="D115" s="15"/>
      <c r="E115" s="91"/>
      <c r="F115" s="17"/>
      <c r="G115" s="17"/>
      <c r="H115" s="15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40"/>
      <c r="T115" s="17"/>
      <c r="U115" s="17"/>
      <c r="V115" s="15"/>
      <c r="W115" s="92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</row>
    <row r="116" spans="1:53" ht="14.25" x14ac:dyDescent="0.2">
      <c r="A116" s="13"/>
      <c r="B116" s="14"/>
      <c r="C116" s="15"/>
      <c r="D116" s="15"/>
      <c r="E116" s="91"/>
      <c r="F116" s="17"/>
      <c r="G116" s="17"/>
      <c r="H116" s="15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40"/>
      <c r="T116" s="17"/>
      <c r="U116" s="17"/>
      <c r="V116" s="15"/>
      <c r="W116" s="92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</row>
    <row r="117" spans="1:53" ht="14.25" x14ac:dyDescent="0.2">
      <c r="A117" s="13"/>
      <c r="B117" s="14"/>
      <c r="C117" s="15"/>
      <c r="D117" s="15"/>
      <c r="E117" s="91"/>
      <c r="F117" s="17"/>
      <c r="G117" s="17"/>
      <c r="H117" s="15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40"/>
      <c r="T117" s="17"/>
      <c r="U117" s="17"/>
      <c r="V117" s="15"/>
      <c r="W117" s="92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</row>
    <row r="118" spans="1:53" ht="14.25" x14ac:dyDescent="0.2">
      <c r="A118" s="13"/>
      <c r="B118" s="14"/>
      <c r="C118" s="15"/>
      <c r="D118" s="15"/>
      <c r="E118" s="91"/>
      <c r="F118" s="17"/>
      <c r="G118" s="17"/>
      <c r="H118" s="15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40"/>
      <c r="T118" s="17"/>
      <c r="U118" s="17"/>
      <c r="V118" s="15"/>
      <c r="W118" s="92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</row>
    <row r="119" spans="1:53" ht="14.25" x14ac:dyDescent="0.2">
      <c r="A119" s="13"/>
      <c r="B119" s="14"/>
      <c r="C119" s="15"/>
      <c r="D119" s="15"/>
      <c r="E119" s="91"/>
      <c r="F119" s="17"/>
      <c r="G119" s="17"/>
      <c r="H119" s="15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40"/>
      <c r="T119" s="17"/>
      <c r="U119" s="17"/>
      <c r="V119" s="15"/>
      <c r="W119" s="92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</row>
    <row r="120" spans="1:53" ht="14.25" x14ac:dyDescent="0.2">
      <c r="A120" s="13"/>
      <c r="B120" s="14"/>
      <c r="C120" s="15"/>
      <c r="D120" s="15"/>
      <c r="E120" s="91"/>
      <c r="F120" s="17"/>
      <c r="G120" s="17"/>
      <c r="H120" s="15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40"/>
      <c r="T120" s="17"/>
      <c r="U120" s="17"/>
      <c r="V120" s="15"/>
      <c r="W120" s="92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</row>
    <row r="121" spans="1:53" ht="14.25" x14ac:dyDescent="0.2">
      <c r="A121" s="13"/>
      <c r="B121" s="14"/>
      <c r="C121" s="15"/>
      <c r="D121" s="15"/>
      <c r="E121" s="91"/>
      <c r="F121" s="17"/>
      <c r="G121" s="17"/>
      <c r="H121" s="15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40"/>
      <c r="T121" s="17"/>
      <c r="U121" s="17"/>
      <c r="V121" s="15"/>
      <c r="W121" s="92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</row>
    <row r="122" spans="1:53" ht="14.25" x14ac:dyDescent="0.2">
      <c r="A122" s="13"/>
      <c r="B122" s="14"/>
      <c r="C122" s="15"/>
      <c r="D122" s="15"/>
      <c r="E122" s="91"/>
      <c r="F122" s="17"/>
      <c r="G122" s="17"/>
      <c r="H122" s="15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40"/>
      <c r="T122" s="17"/>
      <c r="U122" s="17"/>
      <c r="V122" s="15"/>
      <c r="W122" s="92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</row>
    <row r="123" spans="1:53" ht="14.25" x14ac:dyDescent="0.2">
      <c r="A123" s="13"/>
      <c r="B123" s="14"/>
      <c r="C123" s="15"/>
      <c r="D123" s="15"/>
      <c r="E123" s="91"/>
      <c r="F123" s="17"/>
      <c r="G123" s="17"/>
      <c r="H123" s="15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40"/>
      <c r="T123" s="17"/>
      <c r="U123" s="17"/>
      <c r="V123" s="15"/>
      <c r="W123" s="92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</row>
    <row r="124" spans="1:53" ht="14.25" x14ac:dyDescent="0.2">
      <c r="A124" s="13"/>
      <c r="B124" s="14"/>
      <c r="C124" s="15"/>
      <c r="D124" s="15"/>
      <c r="E124" s="91"/>
      <c r="F124" s="17"/>
      <c r="G124" s="17"/>
      <c r="H124" s="15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40"/>
      <c r="T124" s="17"/>
      <c r="U124" s="17"/>
      <c r="V124" s="15"/>
      <c r="W124" s="92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</row>
    <row r="125" spans="1:53" ht="14.25" x14ac:dyDescent="0.2">
      <c r="A125" s="13"/>
      <c r="B125" s="14"/>
      <c r="C125" s="15"/>
      <c r="D125" s="15"/>
      <c r="E125" s="91"/>
      <c r="F125" s="17"/>
      <c r="G125" s="17"/>
      <c r="H125" s="15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40"/>
      <c r="T125" s="17"/>
      <c r="U125" s="17"/>
      <c r="V125" s="15"/>
      <c r="W125" s="92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</row>
    <row r="126" spans="1:53" ht="14.25" x14ac:dyDescent="0.2">
      <c r="A126" s="13"/>
      <c r="B126" s="14"/>
      <c r="C126" s="15"/>
      <c r="D126" s="15"/>
      <c r="E126" s="91"/>
      <c r="F126" s="17"/>
      <c r="G126" s="17"/>
      <c r="H126" s="15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40"/>
      <c r="T126" s="17"/>
      <c r="U126" s="17"/>
      <c r="V126" s="15"/>
      <c r="W126" s="92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</row>
    <row r="127" spans="1:53" ht="14.25" x14ac:dyDescent="0.2">
      <c r="A127" s="13"/>
      <c r="B127" s="14"/>
      <c r="C127" s="15"/>
      <c r="D127" s="15"/>
      <c r="E127" s="91"/>
      <c r="F127" s="17"/>
      <c r="G127" s="17"/>
      <c r="H127" s="15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40"/>
      <c r="T127" s="17"/>
      <c r="U127" s="17"/>
      <c r="V127" s="15"/>
      <c r="W127" s="92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</row>
    <row r="128" spans="1:53" ht="14.25" x14ac:dyDescent="0.2">
      <c r="A128" s="13"/>
      <c r="B128" s="14"/>
      <c r="C128" s="15"/>
      <c r="D128" s="15"/>
      <c r="E128" s="91"/>
      <c r="F128" s="17"/>
      <c r="G128" s="17"/>
      <c r="H128" s="15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40"/>
      <c r="T128" s="17"/>
      <c r="U128" s="17"/>
      <c r="V128" s="15"/>
      <c r="W128" s="92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</row>
    <row r="129" spans="1:53" ht="14.25" x14ac:dyDescent="0.2">
      <c r="A129" s="13"/>
      <c r="B129" s="14"/>
      <c r="C129" s="15"/>
      <c r="D129" s="15"/>
      <c r="E129" s="91"/>
      <c r="F129" s="17"/>
      <c r="G129" s="17"/>
      <c r="H129" s="15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40"/>
      <c r="T129" s="17"/>
      <c r="U129" s="17"/>
      <c r="V129" s="15"/>
      <c r="W129" s="92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</row>
    <row r="130" spans="1:53" ht="14.25" x14ac:dyDescent="0.2">
      <c r="A130" s="13"/>
      <c r="B130" s="14"/>
      <c r="C130" s="15"/>
      <c r="D130" s="15"/>
      <c r="E130" s="91"/>
      <c r="F130" s="17"/>
      <c r="G130" s="17"/>
      <c r="H130" s="15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40"/>
      <c r="T130" s="17"/>
      <c r="U130" s="17"/>
      <c r="V130" s="15"/>
      <c r="W130" s="92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</row>
    <row r="131" spans="1:53" ht="14.25" x14ac:dyDescent="0.2">
      <c r="A131" s="13"/>
      <c r="B131" s="14"/>
      <c r="C131" s="15"/>
      <c r="D131" s="15"/>
      <c r="E131" s="91"/>
      <c r="F131" s="17"/>
      <c r="G131" s="17"/>
      <c r="H131" s="15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40"/>
      <c r="T131" s="17"/>
      <c r="U131" s="17"/>
      <c r="V131" s="15"/>
      <c r="W131" s="92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</row>
    <row r="132" spans="1:53" ht="14.25" x14ac:dyDescent="0.2">
      <c r="A132" s="13"/>
      <c r="B132" s="14"/>
      <c r="C132" s="15"/>
      <c r="D132" s="15"/>
      <c r="E132" s="91"/>
      <c r="F132" s="17"/>
      <c r="G132" s="17"/>
      <c r="H132" s="15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40"/>
      <c r="T132" s="17"/>
      <c r="U132" s="17"/>
      <c r="V132" s="15"/>
      <c r="W132" s="92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</row>
    <row r="133" spans="1:53" ht="14.25" x14ac:dyDescent="0.2">
      <c r="A133" s="13"/>
      <c r="B133" s="14"/>
      <c r="C133" s="15"/>
      <c r="D133" s="15"/>
      <c r="E133" s="91"/>
      <c r="F133" s="17"/>
      <c r="G133" s="17"/>
      <c r="H133" s="15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40"/>
      <c r="T133" s="17"/>
      <c r="U133" s="17"/>
      <c r="V133" s="15"/>
      <c r="W133" s="92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</row>
    <row r="134" spans="1:53" ht="14.25" x14ac:dyDescent="0.2">
      <c r="A134" s="13"/>
      <c r="B134" s="14"/>
      <c r="C134" s="15"/>
      <c r="D134" s="15"/>
      <c r="E134" s="91"/>
      <c r="F134" s="17"/>
      <c r="G134" s="17"/>
      <c r="H134" s="15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40"/>
      <c r="T134" s="17"/>
      <c r="U134" s="17"/>
      <c r="V134" s="15"/>
      <c r="W134" s="92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</row>
    <row r="135" spans="1:53" ht="14.25" x14ac:dyDescent="0.2">
      <c r="A135" s="13"/>
      <c r="B135" s="14"/>
      <c r="C135" s="15"/>
      <c r="D135" s="15"/>
      <c r="E135" s="91"/>
      <c r="F135" s="17"/>
      <c r="G135" s="17"/>
      <c r="H135" s="15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40"/>
      <c r="T135" s="17"/>
      <c r="U135" s="17"/>
      <c r="V135" s="15"/>
      <c r="W135" s="92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</row>
    <row r="136" spans="1:53" ht="14.25" x14ac:dyDescent="0.2">
      <c r="A136" s="13"/>
      <c r="B136" s="14"/>
      <c r="C136" s="15"/>
      <c r="D136" s="15"/>
      <c r="E136" s="91"/>
      <c r="F136" s="17"/>
      <c r="G136" s="17"/>
      <c r="H136" s="15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40"/>
      <c r="T136" s="17"/>
      <c r="U136" s="17"/>
      <c r="V136" s="15"/>
      <c r="W136" s="92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</row>
    <row r="137" spans="1:53" ht="14.25" x14ac:dyDescent="0.2">
      <c r="A137" s="13"/>
      <c r="B137" s="14"/>
      <c r="C137" s="15"/>
      <c r="D137" s="15"/>
      <c r="E137" s="91"/>
      <c r="F137" s="17"/>
      <c r="G137" s="17"/>
      <c r="H137" s="15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40"/>
      <c r="T137" s="17"/>
      <c r="U137" s="17"/>
      <c r="V137" s="15"/>
      <c r="W137" s="92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</row>
    <row r="138" spans="1:53" ht="14.25" x14ac:dyDescent="0.2">
      <c r="A138" s="13"/>
      <c r="B138" s="14"/>
      <c r="C138" s="15"/>
      <c r="D138" s="15"/>
      <c r="E138" s="91"/>
      <c r="F138" s="17"/>
      <c r="G138" s="17"/>
      <c r="H138" s="15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40"/>
      <c r="T138" s="17"/>
      <c r="U138" s="17"/>
      <c r="V138" s="15"/>
      <c r="W138" s="92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</row>
    <row r="139" spans="1:53" ht="14.25" x14ac:dyDescent="0.2">
      <c r="A139" s="13"/>
      <c r="B139" s="14"/>
      <c r="C139" s="15"/>
      <c r="D139" s="15"/>
      <c r="E139" s="91"/>
      <c r="F139" s="17"/>
      <c r="G139" s="17"/>
      <c r="H139" s="15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40"/>
      <c r="T139" s="17"/>
      <c r="U139" s="17"/>
      <c r="V139" s="15"/>
      <c r="W139" s="92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</row>
    <row r="140" spans="1:53" ht="14.25" x14ac:dyDescent="0.2">
      <c r="A140" s="13"/>
      <c r="B140" s="14"/>
      <c r="C140" s="15"/>
      <c r="D140" s="15"/>
      <c r="E140" s="91"/>
      <c r="F140" s="17"/>
      <c r="G140" s="17"/>
      <c r="H140" s="15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40"/>
      <c r="T140" s="17"/>
      <c r="U140" s="17"/>
      <c r="V140" s="15"/>
      <c r="W140" s="92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</row>
    <row r="141" spans="1:53" ht="14.25" x14ac:dyDescent="0.2">
      <c r="A141" s="13"/>
      <c r="B141" s="14"/>
      <c r="C141" s="15"/>
      <c r="D141" s="15"/>
      <c r="E141" s="91"/>
      <c r="F141" s="17"/>
      <c r="G141" s="17"/>
      <c r="H141" s="15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40"/>
      <c r="T141" s="17"/>
      <c r="U141" s="17"/>
      <c r="V141" s="15"/>
      <c r="W141" s="92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</row>
    <row r="142" spans="1:53" ht="14.25" x14ac:dyDescent="0.2">
      <c r="A142" s="13"/>
      <c r="B142" s="14"/>
      <c r="C142" s="15"/>
      <c r="D142" s="15"/>
      <c r="E142" s="91"/>
      <c r="F142" s="17"/>
      <c r="G142" s="17"/>
      <c r="H142" s="15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40"/>
      <c r="T142" s="17"/>
      <c r="U142" s="17"/>
      <c r="V142" s="15"/>
      <c r="W142" s="92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</row>
    <row r="143" spans="1:53" ht="14.25" x14ac:dyDescent="0.2">
      <c r="A143" s="13"/>
      <c r="B143" s="14"/>
      <c r="C143" s="15"/>
      <c r="D143" s="15"/>
      <c r="E143" s="91"/>
      <c r="F143" s="17"/>
      <c r="G143" s="17"/>
      <c r="H143" s="15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40"/>
      <c r="T143" s="17"/>
      <c r="U143" s="17"/>
      <c r="V143" s="15"/>
      <c r="W143" s="92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</row>
    <row r="144" spans="1:53" ht="14.25" x14ac:dyDescent="0.2">
      <c r="A144" s="13"/>
      <c r="B144" s="14"/>
      <c r="C144" s="15"/>
      <c r="D144" s="15"/>
      <c r="E144" s="91"/>
      <c r="F144" s="17"/>
      <c r="G144" s="17"/>
      <c r="H144" s="15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40"/>
      <c r="T144" s="17"/>
      <c r="U144" s="17"/>
      <c r="V144" s="15"/>
      <c r="W144" s="92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</row>
    <row r="145" spans="1:53" ht="14.25" x14ac:dyDescent="0.2">
      <c r="A145" s="13"/>
      <c r="B145" s="14"/>
      <c r="C145" s="15"/>
      <c r="D145" s="15"/>
      <c r="E145" s="91"/>
      <c r="F145" s="17"/>
      <c r="G145" s="17"/>
      <c r="H145" s="15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40"/>
      <c r="T145" s="17"/>
      <c r="U145" s="17"/>
      <c r="V145" s="15"/>
      <c r="W145" s="92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</row>
    <row r="146" spans="1:53" ht="14.25" x14ac:dyDescent="0.2">
      <c r="A146" s="13"/>
      <c r="B146" s="14"/>
      <c r="C146" s="15"/>
      <c r="D146" s="15"/>
      <c r="E146" s="91"/>
      <c r="F146" s="17"/>
      <c r="G146" s="17"/>
      <c r="H146" s="15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40"/>
      <c r="T146" s="17"/>
      <c r="U146" s="17"/>
      <c r="V146" s="15"/>
      <c r="W146" s="92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</row>
    <row r="147" spans="1:53" ht="14.25" x14ac:dyDescent="0.2">
      <c r="A147" s="13"/>
      <c r="B147" s="14"/>
      <c r="C147" s="15"/>
      <c r="D147" s="15"/>
      <c r="E147" s="91"/>
      <c r="F147" s="17"/>
      <c r="G147" s="17"/>
      <c r="H147" s="15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40"/>
      <c r="T147" s="17"/>
      <c r="U147" s="17"/>
      <c r="V147" s="15"/>
      <c r="W147" s="92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</row>
    <row r="148" spans="1:53" ht="14.25" x14ac:dyDescent="0.2">
      <c r="A148" s="13"/>
      <c r="B148" s="14"/>
      <c r="C148" s="15"/>
      <c r="D148" s="15"/>
      <c r="E148" s="91"/>
      <c r="F148" s="17"/>
      <c r="G148" s="17"/>
      <c r="H148" s="15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40"/>
      <c r="T148" s="17"/>
      <c r="U148" s="17"/>
      <c r="V148" s="15"/>
      <c r="W148" s="92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</row>
    <row r="149" spans="1:53" ht="14.25" x14ac:dyDescent="0.2">
      <c r="A149" s="13"/>
      <c r="B149" s="14"/>
      <c r="C149" s="15"/>
      <c r="D149" s="15"/>
      <c r="E149" s="91"/>
      <c r="F149" s="17"/>
      <c r="G149" s="17"/>
      <c r="H149" s="15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40"/>
      <c r="T149" s="17"/>
      <c r="U149" s="17"/>
      <c r="V149" s="15"/>
      <c r="W149" s="92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</row>
    <row r="150" spans="1:53" ht="14.25" x14ac:dyDescent="0.2">
      <c r="A150" s="13"/>
      <c r="B150" s="14"/>
      <c r="C150" s="15"/>
      <c r="D150" s="15"/>
      <c r="E150" s="91"/>
      <c r="F150" s="17"/>
      <c r="G150" s="17"/>
      <c r="H150" s="15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40"/>
      <c r="T150" s="17"/>
      <c r="U150" s="17"/>
      <c r="V150" s="15"/>
      <c r="W150" s="92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</row>
    <row r="151" spans="1:53" ht="14.25" x14ac:dyDescent="0.2">
      <c r="A151" s="13"/>
      <c r="B151" s="14"/>
      <c r="C151" s="15"/>
      <c r="D151" s="15"/>
      <c r="E151" s="91"/>
      <c r="F151" s="17"/>
      <c r="G151" s="17"/>
      <c r="H151" s="15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40"/>
      <c r="T151" s="17"/>
      <c r="U151" s="17"/>
      <c r="V151" s="15"/>
      <c r="W151" s="92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</row>
    <row r="152" spans="1:53" ht="14.25" x14ac:dyDescent="0.2">
      <c r="A152" s="13"/>
      <c r="B152" s="14"/>
      <c r="C152" s="15"/>
      <c r="D152" s="15"/>
      <c r="E152" s="91"/>
      <c r="F152" s="17"/>
      <c r="G152" s="17"/>
      <c r="H152" s="15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40"/>
      <c r="T152" s="17"/>
      <c r="U152" s="17"/>
      <c r="V152" s="15"/>
      <c r="W152" s="92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</row>
    <row r="153" spans="1:53" ht="14.25" x14ac:dyDescent="0.2">
      <c r="A153" s="13"/>
      <c r="B153" s="14"/>
      <c r="C153" s="15"/>
      <c r="D153" s="15"/>
      <c r="E153" s="91"/>
      <c r="F153" s="17"/>
      <c r="G153" s="17"/>
      <c r="H153" s="15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40"/>
      <c r="T153" s="17"/>
      <c r="U153" s="17"/>
      <c r="V153" s="15"/>
      <c r="W153" s="92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</row>
    <row r="154" spans="1:53" ht="14.25" x14ac:dyDescent="0.2">
      <c r="A154" s="13"/>
      <c r="B154" s="14"/>
      <c r="C154" s="15"/>
      <c r="D154" s="15"/>
      <c r="E154" s="91"/>
      <c r="F154" s="17"/>
      <c r="G154" s="17"/>
      <c r="H154" s="15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40"/>
      <c r="T154" s="17"/>
      <c r="U154" s="17"/>
      <c r="V154" s="15"/>
      <c r="W154" s="92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</row>
    <row r="155" spans="1:53" ht="14.25" x14ac:dyDescent="0.2">
      <c r="A155" s="13"/>
      <c r="B155" s="14"/>
      <c r="C155" s="15"/>
      <c r="D155" s="15"/>
      <c r="E155" s="91"/>
      <c r="F155" s="17"/>
      <c r="G155" s="17"/>
      <c r="H155" s="15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40"/>
      <c r="T155" s="17"/>
      <c r="U155" s="17"/>
      <c r="V155" s="15"/>
      <c r="W155" s="92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</row>
    <row r="156" spans="1:53" ht="14.25" x14ac:dyDescent="0.2">
      <c r="A156" s="13"/>
      <c r="B156" s="14"/>
      <c r="C156" s="15"/>
      <c r="D156" s="15"/>
      <c r="E156" s="91"/>
      <c r="F156" s="17"/>
      <c r="G156" s="17"/>
      <c r="H156" s="15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40"/>
      <c r="T156" s="17"/>
      <c r="U156" s="17"/>
      <c r="V156" s="15"/>
      <c r="W156" s="92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</row>
    <row r="157" spans="1:53" ht="14.25" x14ac:dyDescent="0.2">
      <c r="A157" s="13"/>
      <c r="B157" s="14"/>
      <c r="C157" s="15"/>
      <c r="D157" s="15"/>
      <c r="E157" s="91"/>
      <c r="F157" s="17"/>
      <c r="G157" s="17"/>
      <c r="H157" s="15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40"/>
      <c r="T157" s="17"/>
      <c r="U157" s="17"/>
      <c r="V157" s="15"/>
      <c r="W157" s="92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</row>
    <row r="158" spans="1:53" ht="14.25" x14ac:dyDescent="0.2">
      <c r="A158" s="13"/>
      <c r="B158" s="14"/>
      <c r="C158" s="15"/>
      <c r="D158" s="15"/>
      <c r="E158" s="91"/>
      <c r="F158" s="17"/>
      <c r="G158" s="17"/>
      <c r="H158" s="15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40"/>
      <c r="T158" s="17"/>
      <c r="U158" s="17"/>
      <c r="V158" s="15"/>
      <c r="W158" s="92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</row>
    <row r="159" spans="1:53" ht="14.25" x14ac:dyDescent="0.2">
      <c r="A159" s="13"/>
      <c r="B159" s="14"/>
      <c r="C159" s="15"/>
      <c r="D159" s="15"/>
      <c r="E159" s="91"/>
      <c r="F159" s="17"/>
      <c r="G159" s="17"/>
      <c r="H159" s="15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40"/>
      <c r="T159" s="17"/>
      <c r="U159" s="17"/>
      <c r="V159" s="15"/>
      <c r="W159" s="92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</row>
    <row r="160" spans="1:53" ht="14.25" x14ac:dyDescent="0.2">
      <c r="A160" s="13"/>
      <c r="B160" s="14"/>
      <c r="C160" s="15"/>
      <c r="D160" s="15"/>
      <c r="E160" s="91"/>
      <c r="F160" s="17"/>
      <c r="G160" s="17"/>
      <c r="H160" s="15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40"/>
      <c r="T160" s="17"/>
      <c r="U160" s="17"/>
      <c r="V160" s="15"/>
      <c r="W160" s="92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</row>
    <row r="161" spans="1:53" ht="14.25" x14ac:dyDescent="0.2">
      <c r="A161" s="13"/>
      <c r="B161" s="14"/>
      <c r="C161" s="15"/>
      <c r="D161" s="15"/>
      <c r="E161" s="91"/>
      <c r="F161" s="17"/>
      <c r="G161" s="17"/>
      <c r="H161" s="15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40"/>
      <c r="T161" s="17"/>
      <c r="U161" s="17"/>
      <c r="V161" s="15"/>
      <c r="W161" s="92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</row>
    <row r="162" spans="1:53" ht="14.25" x14ac:dyDescent="0.2">
      <c r="A162" s="13"/>
      <c r="B162" s="14"/>
      <c r="C162" s="15"/>
      <c r="D162" s="15"/>
      <c r="E162" s="91"/>
      <c r="F162" s="17"/>
      <c r="G162" s="17"/>
      <c r="H162" s="15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40"/>
      <c r="T162" s="17"/>
      <c r="U162" s="17"/>
      <c r="V162" s="15"/>
      <c r="W162" s="92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</row>
    <row r="163" spans="1:53" ht="14.25" x14ac:dyDescent="0.2">
      <c r="A163" s="13"/>
      <c r="B163" s="14"/>
      <c r="C163" s="15"/>
      <c r="D163" s="15"/>
      <c r="E163" s="91"/>
      <c r="F163" s="17"/>
      <c r="G163" s="17"/>
      <c r="H163" s="15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40"/>
      <c r="T163" s="17"/>
      <c r="U163" s="17"/>
      <c r="V163" s="15"/>
      <c r="W163" s="92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</row>
    <row r="164" spans="1:53" ht="14.25" x14ac:dyDescent="0.2">
      <c r="A164" s="13"/>
      <c r="B164" s="14"/>
      <c r="C164" s="15"/>
      <c r="D164" s="15"/>
      <c r="E164" s="91"/>
      <c r="F164" s="17"/>
      <c r="G164" s="17"/>
      <c r="H164" s="15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40"/>
      <c r="T164" s="17"/>
      <c r="U164" s="17"/>
      <c r="V164" s="15"/>
      <c r="W164" s="92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</row>
    <row r="165" spans="1:53" ht="14.25" x14ac:dyDescent="0.2">
      <c r="A165" s="13"/>
      <c r="B165" s="14"/>
      <c r="C165" s="15"/>
      <c r="D165" s="15"/>
      <c r="E165" s="91"/>
      <c r="F165" s="17"/>
      <c r="G165" s="17"/>
      <c r="H165" s="15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40"/>
      <c r="T165" s="17"/>
      <c r="U165" s="17"/>
      <c r="V165" s="15"/>
      <c r="W165" s="92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</row>
    <row r="166" spans="1:53" ht="14.25" x14ac:dyDescent="0.2">
      <c r="A166" s="13"/>
      <c r="B166" s="14"/>
      <c r="C166" s="15"/>
      <c r="D166" s="15"/>
      <c r="E166" s="91"/>
      <c r="F166" s="17"/>
      <c r="G166" s="17"/>
      <c r="H166" s="15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40"/>
      <c r="T166" s="17"/>
      <c r="U166" s="17"/>
      <c r="V166" s="15"/>
      <c r="W166" s="92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</row>
    <row r="167" spans="1:53" ht="14.25" x14ac:dyDescent="0.2">
      <c r="A167" s="13"/>
      <c r="B167" s="14"/>
      <c r="C167" s="15"/>
      <c r="D167" s="15"/>
      <c r="E167" s="91"/>
      <c r="F167" s="17"/>
      <c r="G167" s="17"/>
      <c r="H167" s="15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40"/>
      <c r="T167" s="17"/>
      <c r="U167" s="17"/>
      <c r="V167" s="15"/>
      <c r="W167" s="92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</row>
    <row r="168" spans="1:53" ht="14.25" x14ac:dyDescent="0.2">
      <c r="A168" s="13"/>
      <c r="B168" s="14"/>
      <c r="C168" s="15"/>
      <c r="D168" s="15"/>
      <c r="E168" s="91"/>
      <c r="F168" s="17"/>
      <c r="G168" s="17"/>
      <c r="H168" s="15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40"/>
      <c r="T168" s="17"/>
      <c r="U168" s="17"/>
      <c r="V168" s="15"/>
      <c r="W168" s="92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</row>
    <row r="169" spans="1:53" ht="14.25" x14ac:dyDescent="0.2">
      <c r="A169" s="13"/>
      <c r="B169" s="14"/>
      <c r="C169" s="15"/>
      <c r="D169" s="15"/>
      <c r="E169" s="91"/>
      <c r="F169" s="17"/>
      <c r="G169" s="17"/>
      <c r="H169" s="15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40"/>
      <c r="T169" s="17"/>
      <c r="U169" s="17"/>
      <c r="V169" s="15"/>
      <c r="W169" s="92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</row>
    <row r="170" spans="1:53" ht="14.25" x14ac:dyDescent="0.2">
      <c r="A170" s="13"/>
      <c r="B170" s="14"/>
      <c r="C170" s="15"/>
      <c r="D170" s="15"/>
      <c r="E170" s="91"/>
      <c r="F170" s="17"/>
      <c r="G170" s="17"/>
      <c r="H170" s="15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40"/>
      <c r="T170" s="17"/>
      <c r="U170" s="17"/>
      <c r="V170" s="15"/>
      <c r="W170" s="92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</row>
    <row r="171" spans="1:53" ht="14.25" x14ac:dyDescent="0.2">
      <c r="A171" s="13"/>
      <c r="B171" s="14"/>
      <c r="C171" s="15"/>
      <c r="D171" s="15"/>
      <c r="E171" s="91"/>
      <c r="F171" s="17"/>
      <c r="G171" s="17"/>
      <c r="H171" s="15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40"/>
      <c r="T171" s="17"/>
      <c r="U171" s="17"/>
      <c r="V171" s="15"/>
      <c r="W171" s="92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</row>
    <row r="172" spans="1:53" ht="14.25" x14ac:dyDescent="0.2">
      <c r="A172" s="13"/>
      <c r="B172" s="14"/>
      <c r="C172" s="15"/>
      <c r="D172" s="15"/>
      <c r="E172" s="91"/>
      <c r="F172" s="17"/>
      <c r="G172" s="17"/>
      <c r="H172" s="15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40"/>
      <c r="T172" s="17"/>
      <c r="U172" s="17"/>
      <c r="V172" s="15"/>
      <c r="W172" s="92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</row>
    <row r="173" spans="1:53" ht="14.25" x14ac:dyDescent="0.2">
      <c r="A173" s="13"/>
      <c r="B173" s="14"/>
      <c r="C173" s="15"/>
      <c r="D173" s="15"/>
      <c r="E173" s="91"/>
      <c r="F173" s="17"/>
      <c r="G173" s="17"/>
      <c r="H173" s="15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40"/>
      <c r="T173" s="17"/>
      <c r="U173" s="17"/>
      <c r="V173" s="15"/>
      <c r="W173" s="92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</row>
    <row r="174" spans="1:53" ht="14.25" x14ac:dyDescent="0.2">
      <c r="A174" s="13"/>
      <c r="B174" s="14"/>
      <c r="C174" s="15"/>
      <c r="D174" s="15"/>
      <c r="E174" s="91"/>
      <c r="F174" s="17"/>
      <c r="G174" s="17"/>
      <c r="H174" s="15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40"/>
      <c r="T174" s="17"/>
      <c r="U174" s="17"/>
      <c r="V174" s="15"/>
      <c r="W174" s="92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</row>
    <row r="175" spans="1:53" ht="14.25" x14ac:dyDescent="0.2">
      <c r="A175" s="13"/>
      <c r="B175" s="14"/>
      <c r="C175" s="15"/>
      <c r="D175" s="15"/>
      <c r="E175" s="91"/>
      <c r="F175" s="17"/>
      <c r="G175" s="17"/>
      <c r="H175" s="15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40"/>
      <c r="T175" s="17"/>
      <c r="U175" s="17"/>
      <c r="V175" s="15"/>
      <c r="W175" s="92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</row>
    <row r="176" spans="1:53" ht="14.25" x14ac:dyDescent="0.2">
      <c r="A176" s="13"/>
      <c r="B176" s="14"/>
      <c r="C176" s="15"/>
      <c r="D176" s="15"/>
      <c r="E176" s="91"/>
      <c r="F176" s="17"/>
      <c r="G176" s="17"/>
      <c r="H176" s="15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40"/>
      <c r="T176" s="17"/>
      <c r="U176" s="17"/>
      <c r="V176" s="15"/>
      <c r="W176" s="92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</row>
    <row r="177" spans="1:53" ht="14.25" x14ac:dyDescent="0.2">
      <c r="A177" s="13"/>
      <c r="B177" s="14"/>
      <c r="C177" s="15"/>
      <c r="D177" s="15"/>
      <c r="E177" s="91"/>
      <c r="F177" s="17"/>
      <c r="G177" s="17"/>
      <c r="H177" s="15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40"/>
      <c r="T177" s="17"/>
      <c r="U177" s="17"/>
      <c r="V177" s="15"/>
      <c r="W177" s="92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</row>
    <row r="178" spans="1:53" ht="14.25" x14ac:dyDescent="0.2">
      <c r="A178" s="13"/>
      <c r="B178" s="14"/>
      <c r="C178" s="15"/>
      <c r="D178" s="15"/>
      <c r="E178" s="91"/>
      <c r="F178" s="17"/>
      <c r="G178" s="17"/>
      <c r="H178" s="15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40"/>
      <c r="T178" s="17"/>
      <c r="U178" s="17"/>
      <c r="V178" s="15"/>
      <c r="W178" s="92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</row>
    <row r="179" spans="1:53" ht="14.25" x14ac:dyDescent="0.2">
      <c r="A179" s="13"/>
      <c r="B179" s="14"/>
      <c r="C179" s="15"/>
      <c r="D179" s="15"/>
      <c r="E179" s="91"/>
      <c r="F179" s="17"/>
      <c r="G179" s="17"/>
      <c r="H179" s="15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40"/>
      <c r="T179" s="17"/>
      <c r="U179" s="17"/>
      <c r="V179" s="15"/>
      <c r="W179" s="92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</row>
    <row r="180" spans="1:53" ht="14.25" x14ac:dyDescent="0.2">
      <c r="A180" s="13"/>
      <c r="B180" s="14"/>
      <c r="C180" s="15"/>
      <c r="D180" s="15"/>
      <c r="E180" s="91"/>
      <c r="F180" s="17"/>
      <c r="G180" s="17"/>
      <c r="H180" s="15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40"/>
      <c r="T180" s="17"/>
      <c r="U180" s="17"/>
      <c r="V180" s="15"/>
      <c r="W180" s="92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</row>
    <row r="181" spans="1:53" ht="14.25" x14ac:dyDescent="0.2">
      <c r="A181" s="13"/>
      <c r="B181" s="14"/>
      <c r="C181" s="15"/>
      <c r="D181" s="15"/>
      <c r="E181" s="91"/>
      <c r="F181" s="17"/>
      <c r="G181" s="17"/>
      <c r="H181" s="15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40"/>
      <c r="T181" s="17"/>
      <c r="U181" s="17"/>
      <c r="V181" s="15"/>
      <c r="W181" s="92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</row>
    <row r="182" spans="1:53" ht="14.25" x14ac:dyDescent="0.2">
      <c r="A182" s="13"/>
      <c r="B182" s="14"/>
      <c r="C182" s="15"/>
      <c r="D182" s="15"/>
      <c r="E182" s="91"/>
      <c r="F182" s="17"/>
      <c r="G182" s="17"/>
      <c r="H182" s="15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40"/>
      <c r="T182" s="17"/>
      <c r="U182" s="17"/>
      <c r="V182" s="15"/>
      <c r="W182" s="92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</row>
    <row r="183" spans="1:53" ht="14.25" x14ac:dyDescent="0.2">
      <c r="A183" s="13"/>
      <c r="B183" s="14"/>
      <c r="C183" s="15"/>
      <c r="D183" s="15"/>
      <c r="E183" s="91"/>
      <c r="F183" s="17"/>
      <c r="G183" s="17"/>
      <c r="H183" s="15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40"/>
      <c r="T183" s="17"/>
      <c r="U183" s="17"/>
      <c r="V183" s="15"/>
      <c r="W183" s="92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</row>
    <row r="184" spans="1:53" ht="14.25" x14ac:dyDescent="0.2">
      <c r="A184" s="13"/>
      <c r="B184" s="14"/>
      <c r="C184" s="15"/>
      <c r="D184" s="15"/>
      <c r="E184" s="91"/>
      <c r="F184" s="17"/>
      <c r="G184" s="17"/>
      <c r="H184" s="15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40"/>
      <c r="T184" s="17"/>
      <c r="U184" s="17"/>
      <c r="V184" s="15"/>
      <c r="W184" s="92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</row>
    <row r="185" spans="1:53" ht="14.25" x14ac:dyDescent="0.2">
      <c r="A185" s="13"/>
      <c r="B185" s="14"/>
      <c r="C185" s="15"/>
      <c r="D185" s="15"/>
      <c r="E185" s="91"/>
      <c r="F185" s="17"/>
      <c r="G185" s="17"/>
      <c r="H185" s="15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40"/>
      <c r="T185" s="17"/>
      <c r="U185" s="17"/>
      <c r="V185" s="15"/>
      <c r="W185" s="92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</row>
    <row r="186" spans="1:53" ht="14.25" x14ac:dyDescent="0.2">
      <c r="A186" s="13"/>
      <c r="B186" s="14"/>
      <c r="C186" s="15"/>
      <c r="D186" s="15"/>
      <c r="E186" s="91"/>
      <c r="F186" s="17"/>
      <c r="G186" s="17"/>
      <c r="H186" s="15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40"/>
      <c r="T186" s="17"/>
      <c r="U186" s="17"/>
      <c r="V186" s="15"/>
      <c r="W186" s="92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</row>
    <row r="187" spans="1:53" ht="14.25" x14ac:dyDescent="0.2">
      <c r="A187" s="13"/>
      <c r="B187" s="14"/>
      <c r="C187" s="15"/>
      <c r="D187" s="15"/>
      <c r="E187" s="91"/>
      <c r="F187" s="17"/>
      <c r="G187" s="17"/>
      <c r="H187" s="15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40"/>
      <c r="T187" s="17"/>
      <c r="U187" s="17"/>
      <c r="V187" s="15"/>
      <c r="W187" s="92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</row>
    <row r="188" spans="1:53" ht="14.25" x14ac:dyDescent="0.2">
      <c r="A188" s="13"/>
      <c r="B188" s="14"/>
      <c r="C188" s="15"/>
      <c r="D188" s="15"/>
      <c r="E188" s="91"/>
      <c r="F188" s="17"/>
      <c r="G188" s="17"/>
      <c r="H188" s="15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40"/>
      <c r="T188" s="17"/>
      <c r="U188" s="17"/>
      <c r="V188" s="15"/>
      <c r="W188" s="92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</row>
    <row r="189" spans="1:53" ht="14.25" x14ac:dyDescent="0.2">
      <c r="A189" s="13"/>
      <c r="B189" s="14"/>
      <c r="C189" s="15"/>
      <c r="D189" s="15"/>
      <c r="E189" s="91"/>
      <c r="F189" s="17"/>
      <c r="G189" s="17"/>
      <c r="H189" s="15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40"/>
      <c r="T189" s="17"/>
      <c r="U189" s="17"/>
      <c r="V189" s="15"/>
      <c r="W189" s="92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</row>
    <row r="190" spans="1:53" ht="14.25" x14ac:dyDescent="0.2">
      <c r="A190" s="13"/>
      <c r="B190" s="14"/>
      <c r="C190" s="15"/>
      <c r="D190" s="15"/>
      <c r="E190" s="91"/>
      <c r="F190" s="17"/>
      <c r="G190" s="17"/>
      <c r="H190" s="15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40"/>
      <c r="T190" s="17"/>
      <c r="U190" s="17"/>
      <c r="V190" s="15"/>
      <c r="W190" s="92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</row>
    <row r="191" spans="1:53" ht="14.25" x14ac:dyDescent="0.2">
      <c r="A191" s="13"/>
      <c r="B191" s="14"/>
      <c r="C191" s="15"/>
      <c r="D191" s="15"/>
      <c r="E191" s="91"/>
      <c r="F191" s="17"/>
      <c r="G191" s="17"/>
      <c r="H191" s="15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40"/>
      <c r="T191" s="17"/>
      <c r="U191" s="17"/>
      <c r="V191" s="15"/>
      <c r="W191" s="92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</row>
    <row r="192" spans="1:53" ht="14.25" x14ac:dyDescent="0.2">
      <c r="A192" s="13"/>
      <c r="B192" s="14"/>
      <c r="C192" s="15"/>
      <c r="D192" s="15"/>
      <c r="E192" s="91"/>
      <c r="F192" s="17"/>
      <c r="G192" s="17"/>
      <c r="H192" s="15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40"/>
      <c r="T192" s="17"/>
      <c r="U192" s="17"/>
      <c r="V192" s="15"/>
      <c r="W192" s="92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</row>
    <row r="193" spans="1:53" ht="14.25" x14ac:dyDescent="0.2">
      <c r="A193" s="13"/>
      <c r="B193" s="14"/>
      <c r="C193" s="15"/>
      <c r="D193" s="15"/>
      <c r="E193" s="91"/>
      <c r="F193" s="17"/>
      <c r="G193" s="17"/>
      <c r="H193" s="15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40"/>
      <c r="T193" s="17"/>
      <c r="U193" s="17"/>
      <c r="V193" s="15"/>
      <c r="W193" s="92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</row>
    <row r="194" spans="1:53" ht="14.25" x14ac:dyDescent="0.2">
      <c r="A194" s="13"/>
      <c r="B194" s="14"/>
      <c r="C194" s="15"/>
      <c r="D194" s="15"/>
      <c r="E194" s="91"/>
      <c r="F194" s="17"/>
      <c r="G194" s="17"/>
      <c r="H194" s="15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40"/>
      <c r="T194" s="17"/>
      <c r="U194" s="17"/>
      <c r="V194" s="15"/>
      <c r="W194" s="92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</row>
    <row r="195" spans="1:53" ht="14.25" x14ac:dyDescent="0.2">
      <c r="A195" s="13"/>
      <c r="B195" s="14"/>
      <c r="C195" s="15"/>
      <c r="D195" s="15"/>
      <c r="E195" s="91"/>
      <c r="F195" s="17"/>
      <c r="G195" s="17"/>
      <c r="H195" s="15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40"/>
      <c r="T195" s="17"/>
      <c r="U195" s="17"/>
      <c r="V195" s="15"/>
      <c r="W195" s="92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</row>
    <row r="196" spans="1:53" ht="14.25" x14ac:dyDescent="0.2">
      <c r="A196" s="13"/>
      <c r="B196" s="14"/>
      <c r="C196" s="15"/>
      <c r="D196" s="15"/>
      <c r="E196" s="91"/>
      <c r="F196" s="17"/>
      <c r="G196" s="17"/>
      <c r="H196" s="15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40"/>
      <c r="T196" s="17"/>
      <c r="U196" s="17"/>
      <c r="V196" s="15"/>
      <c r="W196" s="92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</row>
    <row r="197" spans="1:53" ht="14.25" x14ac:dyDescent="0.2">
      <c r="A197" s="13"/>
      <c r="B197" s="14"/>
      <c r="C197" s="15"/>
      <c r="D197" s="15"/>
      <c r="E197" s="91"/>
      <c r="F197" s="17"/>
      <c r="G197" s="17"/>
      <c r="H197" s="15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40"/>
      <c r="T197" s="17"/>
      <c r="U197" s="17"/>
      <c r="V197" s="15"/>
      <c r="W197" s="92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</row>
    <row r="198" spans="1:53" ht="14.25" x14ac:dyDescent="0.2">
      <c r="A198" s="13"/>
      <c r="B198" s="14"/>
      <c r="C198" s="15"/>
      <c r="D198" s="15"/>
      <c r="E198" s="91"/>
      <c r="F198" s="17"/>
      <c r="G198" s="17"/>
      <c r="H198" s="15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40"/>
      <c r="T198" s="17"/>
      <c r="U198" s="17"/>
      <c r="V198" s="15"/>
      <c r="W198" s="92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</row>
    <row r="199" spans="1:53" ht="14.25" x14ac:dyDescent="0.2">
      <c r="A199" s="13"/>
      <c r="B199" s="14"/>
      <c r="C199" s="15"/>
      <c r="D199" s="15"/>
      <c r="E199" s="91"/>
      <c r="F199" s="17"/>
      <c r="G199" s="17"/>
      <c r="H199" s="15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40"/>
      <c r="T199" s="17"/>
      <c r="U199" s="17"/>
      <c r="V199" s="15"/>
      <c r="W199" s="92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</row>
    <row r="200" spans="1:53" ht="14.25" x14ac:dyDescent="0.2">
      <c r="A200" s="13"/>
      <c r="B200" s="14"/>
      <c r="C200" s="15"/>
      <c r="D200" s="15"/>
      <c r="E200" s="91"/>
      <c r="F200" s="17"/>
      <c r="G200" s="17"/>
      <c r="H200" s="15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40"/>
      <c r="T200" s="17"/>
      <c r="U200" s="17"/>
      <c r="V200" s="15"/>
      <c r="W200" s="92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</row>
    <row r="201" spans="1:53" ht="14.25" x14ac:dyDescent="0.2">
      <c r="A201" s="13"/>
      <c r="B201" s="14"/>
      <c r="C201" s="15"/>
      <c r="D201" s="15"/>
      <c r="E201" s="91"/>
      <c r="F201" s="17"/>
      <c r="G201" s="17"/>
      <c r="H201" s="15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40"/>
      <c r="T201" s="17"/>
      <c r="U201" s="17"/>
      <c r="V201" s="15"/>
      <c r="W201" s="92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</row>
    <row r="202" spans="1:53" ht="14.25" x14ac:dyDescent="0.2">
      <c r="A202" s="13"/>
      <c r="B202" s="14"/>
      <c r="C202" s="15"/>
      <c r="D202" s="15"/>
      <c r="E202" s="91"/>
      <c r="F202" s="17"/>
      <c r="G202" s="17"/>
      <c r="H202" s="15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40"/>
      <c r="T202" s="17"/>
      <c r="U202" s="17"/>
      <c r="V202" s="15"/>
      <c r="W202" s="92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</row>
    <row r="203" spans="1:53" ht="14.25" x14ac:dyDescent="0.2">
      <c r="A203" s="13"/>
      <c r="B203" s="14"/>
      <c r="C203" s="15"/>
      <c r="D203" s="15"/>
      <c r="E203" s="91"/>
      <c r="F203" s="17"/>
      <c r="G203" s="17"/>
      <c r="H203" s="15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40"/>
      <c r="T203" s="17"/>
      <c r="U203" s="17"/>
      <c r="V203" s="15"/>
      <c r="W203" s="92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</row>
    <row r="204" spans="1:53" ht="14.25" x14ac:dyDescent="0.2">
      <c r="A204" s="13"/>
      <c r="B204" s="14"/>
      <c r="C204" s="15"/>
      <c r="D204" s="15"/>
      <c r="E204" s="91"/>
      <c r="F204" s="17"/>
      <c r="G204" s="17"/>
      <c r="H204" s="15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40"/>
      <c r="T204" s="17"/>
      <c r="U204" s="17"/>
      <c r="V204" s="15"/>
      <c r="W204" s="92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</row>
    <row r="205" spans="1:53" ht="14.25" x14ac:dyDescent="0.2">
      <c r="A205" s="13"/>
      <c r="B205" s="14"/>
      <c r="C205" s="15"/>
      <c r="D205" s="15"/>
      <c r="E205" s="91"/>
      <c r="F205" s="17"/>
      <c r="G205" s="17"/>
      <c r="H205" s="15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40"/>
      <c r="T205" s="17"/>
      <c r="U205" s="17"/>
      <c r="V205" s="15"/>
      <c r="W205" s="92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</row>
    <row r="206" spans="1:53" ht="14.25" x14ac:dyDescent="0.2">
      <c r="A206" s="13"/>
      <c r="B206" s="14"/>
      <c r="C206" s="15"/>
      <c r="D206" s="15"/>
      <c r="E206" s="91"/>
      <c r="F206" s="17"/>
      <c r="G206" s="17"/>
      <c r="H206" s="15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40"/>
      <c r="T206" s="17"/>
      <c r="U206" s="17"/>
      <c r="V206" s="15"/>
      <c r="W206" s="92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</row>
    <row r="207" spans="1:53" ht="14.25" x14ac:dyDescent="0.2">
      <c r="A207" s="13"/>
      <c r="B207" s="14"/>
      <c r="C207" s="15"/>
      <c r="D207" s="15"/>
      <c r="E207" s="91"/>
      <c r="F207" s="17"/>
      <c r="G207" s="17"/>
      <c r="H207" s="15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40"/>
      <c r="T207" s="17"/>
      <c r="U207" s="17"/>
      <c r="V207" s="15"/>
      <c r="W207" s="92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</row>
    <row r="208" spans="1:53" ht="14.25" x14ac:dyDescent="0.2">
      <c r="A208" s="13"/>
      <c r="B208" s="14"/>
      <c r="C208" s="15"/>
      <c r="D208" s="15"/>
      <c r="E208" s="91"/>
      <c r="F208" s="17"/>
      <c r="G208" s="17"/>
      <c r="H208" s="15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40"/>
      <c r="T208" s="17"/>
      <c r="U208" s="17"/>
      <c r="V208" s="15"/>
      <c r="W208" s="92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</row>
    <row r="209" spans="1:53" ht="14.25" x14ac:dyDescent="0.2">
      <c r="A209" s="13"/>
      <c r="B209" s="14"/>
      <c r="C209" s="15"/>
      <c r="D209" s="15"/>
      <c r="E209" s="91"/>
      <c r="F209" s="17"/>
      <c r="G209" s="17"/>
      <c r="H209" s="15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40"/>
      <c r="T209" s="17"/>
      <c r="U209" s="17"/>
      <c r="V209" s="15"/>
      <c r="W209" s="92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</row>
    <row r="210" spans="1:53" ht="14.25" x14ac:dyDescent="0.2">
      <c r="A210" s="13"/>
      <c r="B210" s="14"/>
      <c r="C210" s="15"/>
      <c r="D210" s="15"/>
      <c r="E210" s="91"/>
      <c r="F210" s="17"/>
      <c r="G210" s="17"/>
      <c r="H210" s="15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40"/>
      <c r="T210" s="17"/>
      <c r="U210" s="17"/>
      <c r="V210" s="15"/>
      <c r="W210" s="92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</row>
    <row r="211" spans="1:53" ht="14.25" x14ac:dyDescent="0.2">
      <c r="A211" s="13"/>
      <c r="B211" s="14"/>
      <c r="C211" s="15"/>
      <c r="D211" s="15"/>
      <c r="E211" s="91"/>
      <c r="F211" s="17"/>
      <c r="G211" s="17"/>
      <c r="H211" s="15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40"/>
      <c r="T211" s="17"/>
      <c r="U211" s="17"/>
      <c r="V211" s="15"/>
      <c r="W211" s="92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</row>
    <row r="212" spans="1:53" ht="14.25" x14ac:dyDescent="0.2">
      <c r="A212" s="13"/>
      <c r="B212" s="14"/>
      <c r="C212" s="15"/>
      <c r="D212" s="15"/>
      <c r="E212" s="91"/>
      <c r="F212" s="17"/>
      <c r="G212" s="17"/>
      <c r="H212" s="15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40"/>
      <c r="T212" s="17"/>
      <c r="U212" s="17"/>
      <c r="V212" s="15"/>
      <c r="W212" s="92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</row>
    <row r="213" spans="1:53" ht="14.25" x14ac:dyDescent="0.2">
      <c r="A213" s="13"/>
      <c r="B213" s="14"/>
      <c r="C213" s="15"/>
      <c r="D213" s="15"/>
      <c r="E213" s="91"/>
      <c r="F213" s="17"/>
      <c r="G213" s="17"/>
      <c r="H213" s="15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40"/>
      <c r="T213" s="17"/>
      <c r="U213" s="17"/>
      <c r="V213" s="15"/>
      <c r="W213" s="92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</row>
    <row r="214" spans="1:53" ht="14.25" x14ac:dyDescent="0.2">
      <c r="A214" s="13"/>
      <c r="B214" s="14"/>
      <c r="C214" s="15"/>
      <c r="D214" s="15"/>
      <c r="E214" s="91"/>
      <c r="F214" s="17"/>
      <c r="G214" s="17"/>
      <c r="H214" s="15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40"/>
      <c r="T214" s="17"/>
      <c r="U214" s="17"/>
      <c r="V214" s="15"/>
      <c r="W214" s="92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</row>
    <row r="215" spans="1:53" ht="14.25" x14ac:dyDescent="0.2">
      <c r="A215" s="13"/>
      <c r="B215" s="14"/>
      <c r="C215" s="15"/>
      <c r="D215" s="15"/>
      <c r="E215" s="91"/>
      <c r="F215" s="17"/>
      <c r="G215" s="17"/>
      <c r="H215" s="15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40"/>
      <c r="T215" s="17"/>
      <c r="U215" s="17"/>
      <c r="V215" s="15"/>
      <c r="W215" s="92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</row>
    <row r="216" spans="1:53" ht="14.25" x14ac:dyDescent="0.2">
      <c r="A216" s="13"/>
      <c r="B216" s="14"/>
      <c r="C216" s="15"/>
      <c r="D216" s="15"/>
      <c r="E216" s="91"/>
      <c r="F216" s="17"/>
      <c r="G216" s="17"/>
      <c r="H216" s="15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40"/>
      <c r="T216" s="17"/>
      <c r="U216" s="17"/>
      <c r="V216" s="15"/>
      <c r="W216" s="92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</row>
    <row r="217" spans="1:53" ht="14.25" x14ac:dyDescent="0.2">
      <c r="A217" s="13"/>
      <c r="B217" s="14"/>
      <c r="C217" s="15"/>
      <c r="D217" s="15"/>
      <c r="E217" s="91"/>
      <c r="F217" s="17"/>
      <c r="G217" s="17"/>
      <c r="H217" s="15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40"/>
      <c r="T217" s="17"/>
      <c r="U217" s="17"/>
      <c r="V217" s="15"/>
      <c r="W217" s="92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</row>
    <row r="218" spans="1:53" ht="14.25" x14ac:dyDescent="0.2">
      <c r="A218" s="13"/>
      <c r="B218" s="14"/>
      <c r="C218" s="15"/>
      <c r="D218" s="15"/>
      <c r="E218" s="91"/>
      <c r="F218" s="17"/>
      <c r="G218" s="17"/>
      <c r="H218" s="15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40"/>
      <c r="T218" s="17"/>
      <c r="U218" s="17"/>
      <c r="V218" s="15"/>
      <c r="W218" s="92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</row>
    <row r="219" spans="1:53" ht="14.25" x14ac:dyDescent="0.2">
      <c r="A219" s="13"/>
      <c r="B219" s="14"/>
      <c r="C219" s="15"/>
      <c r="D219" s="15"/>
      <c r="E219" s="91"/>
      <c r="F219" s="17"/>
      <c r="G219" s="17"/>
      <c r="H219" s="15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40"/>
      <c r="T219" s="17"/>
      <c r="U219" s="17"/>
      <c r="V219" s="15"/>
      <c r="W219" s="92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</row>
    <row r="220" spans="1:53" ht="14.25" x14ac:dyDescent="0.2">
      <c r="A220" s="13"/>
      <c r="B220" s="14"/>
      <c r="C220" s="15"/>
      <c r="D220" s="15"/>
      <c r="E220" s="91"/>
      <c r="F220" s="17"/>
      <c r="G220" s="17"/>
      <c r="H220" s="15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40"/>
      <c r="T220" s="17"/>
      <c r="U220" s="17"/>
      <c r="V220" s="15"/>
      <c r="W220" s="92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</row>
    <row r="221" spans="1:53" ht="14.25" x14ac:dyDescent="0.2">
      <c r="A221" s="13"/>
      <c r="B221" s="14"/>
      <c r="C221" s="15"/>
      <c r="D221" s="15"/>
      <c r="E221" s="91"/>
      <c r="F221" s="17"/>
      <c r="G221" s="17"/>
      <c r="H221" s="15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40"/>
      <c r="T221" s="17"/>
      <c r="U221" s="17"/>
      <c r="V221" s="15"/>
      <c r="W221" s="92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</row>
    <row r="222" spans="1:53" ht="14.25" x14ac:dyDescent="0.2">
      <c r="A222" s="13"/>
      <c r="B222" s="14"/>
      <c r="C222" s="15"/>
      <c r="D222" s="15"/>
      <c r="E222" s="91"/>
      <c r="F222" s="17"/>
      <c r="G222" s="17"/>
      <c r="H222" s="15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40"/>
      <c r="T222" s="17"/>
      <c r="U222" s="17"/>
      <c r="V222" s="15"/>
      <c r="W222" s="92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</row>
    <row r="223" spans="1:53" ht="14.25" x14ac:dyDescent="0.2">
      <c r="A223" s="13"/>
      <c r="B223" s="14"/>
      <c r="C223" s="15"/>
      <c r="D223" s="15"/>
      <c r="E223" s="91"/>
      <c r="F223" s="17"/>
      <c r="G223" s="17"/>
      <c r="H223" s="15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40"/>
      <c r="T223" s="17"/>
      <c r="U223" s="17"/>
      <c r="V223" s="15"/>
      <c r="W223" s="92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</row>
    <row r="224" spans="1:53" ht="14.25" x14ac:dyDescent="0.2">
      <c r="A224" s="13"/>
      <c r="B224" s="14"/>
      <c r="C224" s="15"/>
      <c r="D224" s="15"/>
      <c r="E224" s="91"/>
      <c r="F224" s="17"/>
      <c r="G224" s="17"/>
      <c r="H224" s="15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40"/>
      <c r="T224" s="17"/>
      <c r="U224" s="17"/>
      <c r="V224" s="15"/>
      <c r="W224" s="92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</row>
    <row r="225" spans="1:53" ht="14.25" x14ac:dyDescent="0.2">
      <c r="A225" s="13"/>
      <c r="B225" s="14"/>
      <c r="C225" s="15"/>
      <c r="D225" s="15"/>
      <c r="E225" s="91"/>
      <c r="F225" s="17"/>
      <c r="G225" s="17"/>
      <c r="H225" s="15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40"/>
      <c r="T225" s="17"/>
      <c r="U225" s="17"/>
      <c r="V225" s="15"/>
      <c r="W225" s="92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</row>
    <row r="226" spans="1:53" ht="14.25" x14ac:dyDescent="0.2">
      <c r="A226" s="13"/>
      <c r="B226" s="14"/>
      <c r="C226" s="15"/>
      <c r="D226" s="15"/>
      <c r="E226" s="91"/>
      <c r="F226" s="17"/>
      <c r="G226" s="17"/>
      <c r="H226" s="15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40"/>
      <c r="T226" s="17"/>
      <c r="U226" s="17"/>
      <c r="V226" s="15"/>
      <c r="W226" s="92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</row>
    <row r="227" spans="1:53" ht="14.25" x14ac:dyDescent="0.2">
      <c r="A227" s="13"/>
      <c r="B227" s="14"/>
      <c r="C227" s="15"/>
      <c r="D227" s="15"/>
      <c r="E227" s="91"/>
      <c r="F227" s="17"/>
      <c r="G227" s="17"/>
      <c r="H227" s="15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40"/>
      <c r="T227" s="17"/>
      <c r="U227" s="17"/>
      <c r="V227" s="15"/>
      <c r="W227" s="92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</row>
    <row r="228" spans="1:53" ht="14.25" x14ac:dyDescent="0.2">
      <c r="A228" s="13"/>
      <c r="B228" s="14"/>
      <c r="C228" s="15"/>
      <c r="D228" s="15"/>
      <c r="E228" s="91"/>
      <c r="F228" s="17"/>
      <c r="G228" s="17"/>
      <c r="H228" s="15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40"/>
      <c r="T228" s="17"/>
      <c r="U228" s="17"/>
      <c r="V228" s="15"/>
      <c r="W228" s="92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</row>
    <row r="229" spans="1:53" ht="14.25" x14ac:dyDescent="0.2">
      <c r="A229" s="13"/>
      <c r="B229" s="14"/>
      <c r="C229" s="15"/>
      <c r="D229" s="15"/>
      <c r="E229" s="91"/>
      <c r="F229" s="17"/>
      <c r="G229" s="17"/>
      <c r="H229" s="15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40"/>
      <c r="T229" s="17"/>
      <c r="U229" s="17"/>
      <c r="V229" s="15"/>
      <c r="W229" s="92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</row>
    <row r="230" spans="1:53" ht="14.25" x14ac:dyDescent="0.2">
      <c r="A230" s="13"/>
      <c r="B230" s="14"/>
      <c r="C230" s="15"/>
      <c r="D230" s="15"/>
      <c r="E230" s="91"/>
      <c r="F230" s="17"/>
      <c r="G230" s="17"/>
      <c r="H230" s="15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40"/>
      <c r="T230" s="17"/>
      <c r="U230" s="17"/>
      <c r="V230" s="15"/>
      <c r="W230" s="92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</row>
    <row r="231" spans="1:53" ht="14.25" x14ac:dyDescent="0.2">
      <c r="A231" s="13"/>
      <c r="B231" s="14"/>
      <c r="C231" s="15"/>
      <c r="D231" s="15"/>
      <c r="E231" s="91"/>
      <c r="F231" s="17"/>
      <c r="G231" s="17"/>
      <c r="H231" s="15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40"/>
      <c r="T231" s="17"/>
      <c r="U231" s="17"/>
      <c r="V231" s="15"/>
      <c r="W231" s="92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</row>
    <row r="232" spans="1:53" ht="14.25" x14ac:dyDescent="0.2">
      <c r="A232" s="13"/>
      <c r="B232" s="14"/>
      <c r="C232" s="15"/>
      <c r="D232" s="15"/>
      <c r="E232" s="91"/>
      <c r="F232" s="17"/>
      <c r="G232" s="17"/>
      <c r="H232" s="15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40"/>
      <c r="T232" s="17"/>
      <c r="U232" s="17"/>
      <c r="V232" s="15"/>
      <c r="W232" s="92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</row>
    <row r="233" spans="1:53" ht="14.25" x14ac:dyDescent="0.2">
      <c r="A233" s="13"/>
      <c r="B233" s="14"/>
      <c r="C233" s="15"/>
      <c r="D233" s="15"/>
      <c r="E233" s="91"/>
      <c r="F233" s="17"/>
      <c r="G233" s="17"/>
      <c r="H233" s="15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40"/>
      <c r="T233" s="17"/>
      <c r="U233" s="17"/>
      <c r="V233" s="15"/>
      <c r="W233" s="92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</row>
    <row r="234" spans="1:53" ht="14.25" x14ac:dyDescent="0.2">
      <c r="A234" s="13"/>
      <c r="B234" s="14"/>
      <c r="C234" s="15"/>
      <c r="D234" s="15"/>
      <c r="E234" s="91"/>
      <c r="F234" s="17"/>
      <c r="G234" s="17"/>
      <c r="H234" s="15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40"/>
      <c r="T234" s="17"/>
      <c r="U234" s="17"/>
      <c r="V234" s="15"/>
      <c r="W234" s="92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</row>
    <row r="235" spans="1:53" ht="14.25" x14ac:dyDescent="0.2">
      <c r="A235" s="13"/>
      <c r="B235" s="14"/>
      <c r="C235" s="15"/>
      <c r="D235" s="15"/>
      <c r="E235" s="91"/>
      <c r="F235" s="17"/>
      <c r="G235" s="17"/>
      <c r="H235" s="15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40"/>
      <c r="T235" s="17"/>
      <c r="U235" s="17"/>
      <c r="V235" s="15"/>
      <c r="W235" s="92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</row>
    <row r="236" spans="1:53" ht="14.25" x14ac:dyDescent="0.2">
      <c r="A236" s="13"/>
      <c r="B236" s="14"/>
      <c r="C236" s="15"/>
      <c r="D236" s="15"/>
      <c r="E236" s="91"/>
      <c r="F236" s="17"/>
      <c r="G236" s="17"/>
      <c r="H236" s="15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40"/>
      <c r="T236" s="17"/>
      <c r="U236" s="17"/>
      <c r="V236" s="15"/>
      <c r="W236" s="92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</row>
    <row r="237" spans="1:53" ht="14.25" x14ac:dyDescent="0.2">
      <c r="A237" s="13"/>
      <c r="B237" s="14"/>
      <c r="C237" s="15"/>
      <c r="D237" s="15"/>
      <c r="E237" s="91"/>
      <c r="F237" s="17"/>
      <c r="G237" s="17"/>
      <c r="H237" s="15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40"/>
      <c r="T237" s="17"/>
      <c r="U237" s="17"/>
      <c r="V237" s="15"/>
      <c r="W237" s="92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</row>
    <row r="238" spans="1:53" ht="14.25" x14ac:dyDescent="0.2">
      <c r="A238" s="13"/>
      <c r="B238" s="14"/>
      <c r="C238" s="15"/>
      <c r="D238" s="15"/>
      <c r="E238" s="91"/>
      <c r="F238" s="17"/>
      <c r="G238" s="17"/>
      <c r="H238" s="15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40"/>
      <c r="T238" s="17"/>
      <c r="U238" s="17"/>
      <c r="V238" s="15"/>
      <c r="W238" s="92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</row>
    <row r="239" spans="1:53" ht="14.25" x14ac:dyDescent="0.2">
      <c r="A239" s="13"/>
      <c r="B239" s="14"/>
      <c r="C239" s="15"/>
      <c r="D239" s="15"/>
      <c r="E239" s="91"/>
      <c r="F239" s="17"/>
      <c r="G239" s="17"/>
      <c r="H239" s="15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40"/>
      <c r="T239" s="17"/>
      <c r="U239" s="17"/>
      <c r="V239" s="15"/>
      <c r="W239" s="92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</row>
    <row r="240" spans="1:53" ht="14.25" x14ac:dyDescent="0.2">
      <c r="A240" s="13"/>
      <c r="B240" s="14"/>
      <c r="C240" s="15"/>
      <c r="D240" s="15"/>
      <c r="E240" s="91"/>
      <c r="F240" s="17"/>
      <c r="G240" s="17"/>
      <c r="H240" s="15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40"/>
      <c r="T240" s="17"/>
      <c r="U240" s="17"/>
      <c r="V240" s="15"/>
      <c r="W240" s="92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</row>
    <row r="241" spans="1:53" ht="14.25" x14ac:dyDescent="0.2">
      <c r="A241" s="13"/>
      <c r="B241" s="14"/>
      <c r="C241" s="15"/>
      <c r="D241" s="15"/>
      <c r="E241" s="91"/>
      <c r="F241" s="17"/>
      <c r="G241" s="17"/>
      <c r="H241" s="15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40"/>
      <c r="T241" s="17"/>
      <c r="U241" s="17"/>
      <c r="V241" s="15"/>
      <c r="W241" s="92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</row>
    <row r="242" spans="1:53" ht="14.25" x14ac:dyDescent="0.2">
      <c r="A242" s="13"/>
      <c r="B242" s="14"/>
      <c r="C242" s="15"/>
      <c r="D242" s="15"/>
      <c r="E242" s="91"/>
      <c r="F242" s="17"/>
      <c r="G242" s="17"/>
      <c r="H242" s="15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40"/>
      <c r="T242" s="17"/>
      <c r="U242" s="17"/>
      <c r="V242" s="15"/>
      <c r="W242" s="92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</row>
    <row r="243" spans="1:53" ht="14.25" x14ac:dyDescent="0.2">
      <c r="A243" s="13"/>
      <c r="B243" s="14"/>
      <c r="C243" s="15"/>
      <c r="D243" s="15"/>
      <c r="E243" s="91"/>
      <c r="F243" s="17"/>
      <c r="G243" s="17"/>
      <c r="H243" s="15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40"/>
      <c r="T243" s="17"/>
      <c r="U243" s="17"/>
      <c r="V243" s="15"/>
      <c r="W243" s="92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</row>
    <row r="244" spans="1:53" ht="14.25" x14ac:dyDescent="0.2">
      <c r="A244" s="13"/>
      <c r="B244" s="14"/>
      <c r="C244" s="15"/>
      <c r="D244" s="15"/>
      <c r="E244" s="91"/>
      <c r="F244" s="17"/>
      <c r="G244" s="17"/>
      <c r="H244" s="15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40"/>
      <c r="T244" s="17"/>
      <c r="U244" s="17"/>
      <c r="V244" s="15"/>
      <c r="W244" s="92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</row>
    <row r="245" spans="1:53" ht="14.25" x14ac:dyDescent="0.2">
      <c r="A245" s="13"/>
      <c r="B245" s="14"/>
      <c r="C245" s="15"/>
      <c r="D245" s="15"/>
      <c r="E245" s="91"/>
      <c r="F245" s="17"/>
      <c r="G245" s="17"/>
      <c r="H245" s="15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40"/>
      <c r="T245" s="17"/>
      <c r="U245" s="17"/>
      <c r="V245" s="15"/>
      <c r="W245" s="92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</row>
    <row r="246" spans="1:53" ht="14.25" x14ac:dyDescent="0.2">
      <c r="A246" s="13"/>
      <c r="B246" s="14"/>
      <c r="C246" s="15"/>
      <c r="D246" s="15"/>
      <c r="E246" s="91"/>
      <c r="F246" s="17"/>
      <c r="G246" s="17"/>
      <c r="H246" s="15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40"/>
      <c r="T246" s="17"/>
      <c r="U246" s="17"/>
      <c r="V246" s="15"/>
      <c r="W246" s="92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</row>
    <row r="247" spans="1:53" ht="14.25" x14ac:dyDescent="0.2">
      <c r="A247" s="13"/>
      <c r="B247" s="14"/>
      <c r="C247" s="15"/>
      <c r="D247" s="15"/>
      <c r="E247" s="91"/>
      <c r="F247" s="17"/>
      <c r="G247" s="17"/>
      <c r="H247" s="15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40"/>
      <c r="T247" s="17"/>
      <c r="U247" s="17"/>
      <c r="V247" s="15"/>
      <c r="W247" s="92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</row>
    <row r="248" spans="1:53" ht="14.25" x14ac:dyDescent="0.2">
      <c r="A248" s="13"/>
      <c r="B248" s="14"/>
      <c r="C248" s="15"/>
      <c r="D248" s="15"/>
      <c r="E248" s="91"/>
      <c r="F248" s="17"/>
      <c r="G248" s="17"/>
      <c r="H248" s="15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40"/>
      <c r="T248" s="17"/>
      <c r="U248" s="17"/>
      <c r="V248" s="15"/>
      <c r="W248" s="92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</row>
    <row r="249" spans="1:53" ht="14.25" x14ac:dyDescent="0.2">
      <c r="A249" s="13"/>
      <c r="B249" s="14"/>
      <c r="C249" s="15"/>
      <c r="D249" s="15"/>
      <c r="E249" s="91"/>
      <c r="F249" s="17"/>
      <c r="G249" s="17"/>
      <c r="H249" s="15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40"/>
      <c r="T249" s="17"/>
      <c r="U249" s="17"/>
      <c r="V249" s="15"/>
      <c r="W249" s="92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</row>
    <row r="250" spans="1:53" ht="14.25" x14ac:dyDescent="0.2">
      <c r="A250" s="13"/>
      <c r="B250" s="14"/>
      <c r="C250" s="15"/>
      <c r="D250" s="15"/>
      <c r="E250" s="91"/>
      <c r="F250" s="17"/>
      <c r="G250" s="17"/>
      <c r="H250" s="15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40"/>
      <c r="T250" s="17"/>
      <c r="U250" s="17"/>
      <c r="V250" s="15"/>
      <c r="W250" s="92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</row>
    <row r="251" spans="1:53" ht="14.25" x14ac:dyDescent="0.2">
      <c r="A251" s="13"/>
      <c r="B251" s="14"/>
      <c r="C251" s="15"/>
      <c r="D251" s="15"/>
      <c r="E251" s="91"/>
      <c r="F251" s="17"/>
      <c r="G251" s="17"/>
      <c r="H251" s="15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40"/>
      <c r="T251" s="17"/>
      <c r="U251" s="17"/>
      <c r="V251" s="15"/>
      <c r="W251" s="92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</row>
    <row r="252" spans="1:53" ht="14.25" x14ac:dyDescent="0.2">
      <c r="A252" s="13"/>
      <c r="B252" s="14"/>
      <c r="C252" s="15"/>
      <c r="D252" s="15"/>
      <c r="E252" s="91"/>
      <c r="F252" s="17"/>
      <c r="G252" s="17"/>
      <c r="H252" s="15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40"/>
      <c r="T252" s="17"/>
      <c r="U252" s="17"/>
      <c r="V252" s="15"/>
      <c r="W252" s="92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</row>
    <row r="253" spans="1:53" ht="14.25" x14ac:dyDescent="0.2">
      <c r="A253" s="13"/>
      <c r="B253" s="14"/>
      <c r="C253" s="15"/>
      <c r="D253" s="15"/>
      <c r="E253" s="91"/>
      <c r="F253" s="17"/>
      <c r="G253" s="17"/>
      <c r="H253" s="15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40"/>
      <c r="T253" s="17"/>
      <c r="U253" s="17"/>
      <c r="V253" s="15"/>
      <c r="W253" s="92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</row>
    <row r="254" spans="1:53" ht="14.25" x14ac:dyDescent="0.2">
      <c r="A254" s="13"/>
      <c r="B254" s="14"/>
      <c r="C254" s="15"/>
      <c r="D254" s="15"/>
      <c r="E254" s="91"/>
      <c r="F254" s="17"/>
      <c r="G254" s="17"/>
      <c r="H254" s="15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40"/>
      <c r="T254" s="17"/>
      <c r="U254" s="17"/>
      <c r="V254" s="15"/>
      <c r="W254" s="92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</row>
    <row r="255" spans="1:53" ht="14.25" x14ac:dyDescent="0.2">
      <c r="A255" s="13"/>
      <c r="B255" s="14"/>
      <c r="C255" s="15"/>
      <c r="D255" s="15"/>
      <c r="E255" s="91"/>
      <c r="F255" s="17"/>
      <c r="G255" s="17"/>
      <c r="H255" s="15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40"/>
      <c r="T255" s="17"/>
      <c r="U255" s="17"/>
      <c r="V255" s="15"/>
      <c r="W255" s="92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</row>
    <row r="256" spans="1:53" ht="14.25" x14ac:dyDescent="0.2">
      <c r="A256" s="13"/>
      <c r="B256" s="14"/>
      <c r="C256" s="15"/>
      <c r="D256" s="15"/>
      <c r="E256" s="91"/>
      <c r="F256" s="17"/>
      <c r="G256" s="17"/>
      <c r="H256" s="15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40"/>
      <c r="T256" s="17"/>
      <c r="U256" s="17"/>
      <c r="V256" s="15"/>
      <c r="W256" s="92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</row>
    <row r="257" spans="1:53" ht="14.25" x14ac:dyDescent="0.2">
      <c r="A257" s="13"/>
      <c r="B257" s="14"/>
      <c r="C257" s="15"/>
      <c r="D257" s="15"/>
      <c r="E257" s="91"/>
      <c r="F257" s="17"/>
      <c r="G257" s="17"/>
      <c r="H257" s="15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40"/>
      <c r="T257" s="17"/>
      <c r="U257" s="17"/>
      <c r="V257" s="15"/>
      <c r="W257" s="92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</row>
    <row r="258" spans="1:53" ht="14.25" x14ac:dyDescent="0.2">
      <c r="A258" s="13"/>
      <c r="B258" s="14"/>
      <c r="C258" s="15"/>
      <c r="D258" s="15"/>
      <c r="E258" s="91"/>
      <c r="F258" s="17"/>
      <c r="G258" s="17"/>
      <c r="H258" s="15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40"/>
      <c r="T258" s="17"/>
      <c r="U258" s="17"/>
      <c r="V258" s="15"/>
      <c r="W258" s="92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</row>
    <row r="259" spans="1:53" ht="14.25" x14ac:dyDescent="0.2">
      <c r="A259" s="13"/>
      <c r="B259" s="14"/>
      <c r="C259" s="15"/>
      <c r="D259" s="15"/>
      <c r="E259" s="91"/>
      <c r="F259" s="17"/>
      <c r="G259" s="17"/>
      <c r="H259" s="15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40"/>
      <c r="T259" s="17"/>
      <c r="U259" s="17"/>
      <c r="V259" s="15"/>
      <c r="W259" s="92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</row>
    <row r="260" spans="1:53" ht="14.25" x14ac:dyDescent="0.2">
      <c r="A260" s="13"/>
      <c r="B260" s="14"/>
      <c r="C260" s="15"/>
      <c r="D260" s="15"/>
      <c r="E260" s="91"/>
      <c r="F260" s="17"/>
      <c r="G260" s="17"/>
      <c r="H260" s="15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40"/>
      <c r="T260" s="17"/>
      <c r="U260" s="17"/>
      <c r="V260" s="15"/>
      <c r="W260" s="92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</row>
    <row r="261" spans="1:53" ht="14.25" x14ac:dyDescent="0.2">
      <c r="A261" s="13"/>
      <c r="B261" s="14"/>
      <c r="C261" s="15"/>
      <c r="D261" s="15"/>
      <c r="E261" s="91"/>
      <c r="F261" s="17"/>
      <c r="G261" s="17"/>
      <c r="H261" s="15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40"/>
      <c r="T261" s="17"/>
      <c r="U261" s="17"/>
      <c r="V261" s="15"/>
      <c r="W261" s="92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</row>
    <row r="262" spans="1:53" ht="14.25" x14ac:dyDescent="0.2">
      <c r="A262" s="13"/>
      <c r="B262" s="14"/>
      <c r="C262" s="15"/>
      <c r="D262" s="15"/>
      <c r="E262" s="91"/>
      <c r="F262" s="17"/>
      <c r="G262" s="17"/>
      <c r="H262" s="15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40"/>
      <c r="T262" s="17"/>
      <c r="U262" s="17"/>
      <c r="V262" s="15"/>
      <c r="W262" s="92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</row>
    <row r="263" spans="1:53" ht="14.25" x14ac:dyDescent="0.2">
      <c r="A263" s="13"/>
      <c r="B263" s="14"/>
      <c r="C263" s="15"/>
      <c r="D263" s="15"/>
      <c r="E263" s="91"/>
      <c r="F263" s="17"/>
      <c r="G263" s="17"/>
      <c r="H263" s="15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40"/>
      <c r="T263" s="17"/>
      <c r="U263" s="17"/>
      <c r="V263" s="15"/>
      <c r="W263" s="92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</row>
    <row r="264" spans="1:53" ht="14.25" x14ac:dyDescent="0.2">
      <c r="A264" s="13"/>
      <c r="B264" s="14"/>
      <c r="C264" s="15"/>
      <c r="D264" s="15"/>
      <c r="E264" s="91"/>
      <c r="F264" s="17"/>
      <c r="G264" s="17"/>
      <c r="H264" s="15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40"/>
      <c r="T264" s="17"/>
      <c r="U264" s="17"/>
      <c r="V264" s="15"/>
      <c r="W264" s="92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</row>
    <row r="265" spans="1:53" ht="14.25" x14ac:dyDescent="0.2">
      <c r="A265" s="13"/>
      <c r="B265" s="14"/>
      <c r="C265" s="15"/>
      <c r="D265" s="15"/>
      <c r="E265" s="91"/>
      <c r="F265" s="17"/>
      <c r="G265" s="17"/>
      <c r="H265" s="15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40"/>
      <c r="T265" s="17"/>
      <c r="U265" s="17"/>
      <c r="V265" s="15"/>
      <c r="W265" s="92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</row>
    <row r="266" spans="1:53" ht="14.25" x14ac:dyDescent="0.2">
      <c r="A266" s="13"/>
      <c r="B266" s="14"/>
      <c r="C266" s="15"/>
      <c r="D266" s="15"/>
      <c r="E266" s="91"/>
      <c r="F266" s="17"/>
      <c r="G266" s="17"/>
      <c r="H266" s="15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40"/>
      <c r="T266" s="17"/>
      <c r="U266" s="17"/>
      <c r="V266" s="15"/>
      <c r="W266" s="92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</row>
    <row r="267" spans="1:53" ht="14.25" x14ac:dyDescent="0.2">
      <c r="A267" s="13"/>
      <c r="B267" s="14"/>
      <c r="C267" s="15"/>
      <c r="D267" s="15"/>
      <c r="E267" s="91"/>
      <c r="F267" s="17"/>
      <c r="G267" s="17"/>
      <c r="H267" s="15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40"/>
      <c r="T267" s="17"/>
      <c r="U267" s="17"/>
      <c r="V267" s="15"/>
      <c r="W267" s="92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</row>
    <row r="268" spans="1:53" ht="14.25" x14ac:dyDescent="0.2">
      <c r="A268" s="13"/>
      <c r="B268" s="14"/>
      <c r="C268" s="15"/>
      <c r="D268" s="15"/>
      <c r="E268" s="91"/>
      <c r="F268" s="17"/>
      <c r="G268" s="17"/>
      <c r="H268" s="15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40"/>
      <c r="T268" s="17"/>
      <c r="U268" s="17"/>
      <c r="V268" s="15"/>
      <c r="W268" s="92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</row>
    <row r="269" spans="1:53" ht="14.25" x14ac:dyDescent="0.2">
      <c r="A269" s="13"/>
      <c r="B269" s="14"/>
      <c r="C269" s="15"/>
      <c r="D269" s="15"/>
      <c r="E269" s="91"/>
      <c r="F269" s="17"/>
      <c r="G269" s="17"/>
      <c r="H269" s="15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40"/>
      <c r="T269" s="17"/>
      <c r="U269" s="17"/>
      <c r="V269" s="15"/>
      <c r="W269" s="92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</row>
    <row r="270" spans="1:53" ht="14.25" x14ac:dyDescent="0.2">
      <c r="A270" s="13"/>
      <c r="B270" s="14"/>
      <c r="C270" s="15"/>
      <c r="D270" s="15"/>
      <c r="E270" s="91"/>
      <c r="F270" s="17"/>
      <c r="G270" s="17"/>
      <c r="H270" s="15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40"/>
      <c r="T270" s="17"/>
      <c r="U270" s="17"/>
      <c r="V270" s="15"/>
      <c r="W270" s="92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</row>
    <row r="271" spans="1:53" ht="14.25" x14ac:dyDescent="0.2">
      <c r="A271" s="13"/>
      <c r="B271" s="14"/>
      <c r="C271" s="15"/>
      <c r="D271" s="15"/>
      <c r="E271" s="91"/>
      <c r="F271" s="17"/>
      <c r="G271" s="17"/>
      <c r="H271" s="15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40"/>
      <c r="T271" s="17"/>
      <c r="U271" s="17"/>
      <c r="V271" s="15"/>
      <c r="W271" s="92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</row>
    <row r="272" spans="1:53" ht="14.25" x14ac:dyDescent="0.2">
      <c r="A272" s="13"/>
      <c r="B272" s="14"/>
      <c r="C272" s="15"/>
      <c r="D272" s="15"/>
      <c r="E272" s="91"/>
      <c r="F272" s="17"/>
      <c r="G272" s="17"/>
      <c r="H272" s="15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40"/>
      <c r="T272" s="17"/>
      <c r="U272" s="17"/>
      <c r="V272" s="15"/>
      <c r="W272" s="92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</row>
    <row r="273" spans="1:53" ht="14.25" x14ac:dyDescent="0.2">
      <c r="A273" s="13"/>
      <c r="B273" s="14"/>
      <c r="C273" s="15"/>
      <c r="D273" s="15"/>
      <c r="E273" s="91"/>
      <c r="F273" s="17"/>
      <c r="G273" s="17"/>
      <c r="H273" s="15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40"/>
      <c r="T273" s="17"/>
      <c r="U273" s="17"/>
      <c r="V273" s="15"/>
      <c r="W273" s="92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</row>
    <row r="274" spans="1:53" ht="14.25" x14ac:dyDescent="0.2">
      <c r="A274" s="13"/>
      <c r="B274" s="14"/>
      <c r="C274" s="15"/>
      <c r="D274" s="15"/>
      <c r="E274" s="91"/>
      <c r="F274" s="17"/>
      <c r="G274" s="17"/>
      <c r="H274" s="15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40"/>
      <c r="T274" s="17"/>
      <c r="U274" s="17"/>
      <c r="V274" s="15"/>
      <c r="W274" s="92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</row>
    <row r="275" spans="1:53" ht="14.25" x14ac:dyDescent="0.2">
      <c r="A275" s="13"/>
      <c r="B275" s="14"/>
      <c r="C275" s="15"/>
      <c r="D275" s="15"/>
      <c r="E275" s="91"/>
      <c r="F275" s="17"/>
      <c r="G275" s="17"/>
      <c r="H275" s="15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40"/>
      <c r="T275" s="17"/>
      <c r="U275" s="17"/>
      <c r="V275" s="15"/>
      <c r="W275" s="92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</row>
    <row r="276" spans="1:53" ht="14.25" x14ac:dyDescent="0.2">
      <c r="A276" s="13"/>
      <c r="B276" s="14"/>
      <c r="C276" s="15"/>
      <c r="D276" s="15"/>
      <c r="E276" s="91"/>
      <c r="F276" s="17"/>
      <c r="G276" s="17"/>
      <c r="H276" s="15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40"/>
      <c r="T276" s="17"/>
      <c r="U276" s="17"/>
      <c r="V276" s="15"/>
      <c r="W276" s="92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</row>
    <row r="277" spans="1:53" ht="14.25" x14ac:dyDescent="0.2">
      <c r="A277" s="13"/>
      <c r="B277" s="14"/>
      <c r="C277" s="15"/>
      <c r="D277" s="15"/>
      <c r="E277" s="91"/>
      <c r="F277" s="17"/>
      <c r="G277" s="17"/>
      <c r="H277" s="15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40"/>
      <c r="T277" s="17"/>
      <c r="U277" s="17"/>
      <c r="V277" s="15"/>
      <c r="W277" s="92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</row>
    <row r="278" spans="1:53" ht="14.25" x14ac:dyDescent="0.2">
      <c r="A278" s="13"/>
      <c r="B278" s="14"/>
      <c r="C278" s="15"/>
      <c r="D278" s="15"/>
      <c r="E278" s="91"/>
      <c r="F278" s="17"/>
      <c r="G278" s="17"/>
      <c r="H278" s="15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40"/>
      <c r="T278" s="17"/>
      <c r="U278" s="17"/>
      <c r="V278" s="15"/>
      <c r="W278" s="92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</row>
    <row r="279" spans="1:53" ht="14.25" x14ac:dyDescent="0.2">
      <c r="A279" s="13"/>
      <c r="B279" s="14"/>
      <c r="C279" s="15"/>
      <c r="D279" s="15"/>
      <c r="E279" s="91"/>
      <c r="F279" s="17"/>
      <c r="G279" s="17"/>
      <c r="H279" s="15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40"/>
      <c r="T279" s="17"/>
      <c r="U279" s="17"/>
      <c r="V279" s="15"/>
      <c r="W279" s="92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</row>
    <row r="280" spans="1:53" ht="14.25" x14ac:dyDescent="0.2">
      <c r="A280" s="13"/>
      <c r="B280" s="14"/>
      <c r="C280" s="15"/>
      <c r="D280" s="15"/>
      <c r="E280" s="91"/>
      <c r="F280" s="17"/>
      <c r="G280" s="17"/>
      <c r="H280" s="15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40"/>
      <c r="T280" s="17"/>
      <c r="U280" s="17"/>
      <c r="V280" s="15"/>
      <c r="W280" s="92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</row>
    <row r="281" spans="1:53" ht="14.25" x14ac:dyDescent="0.2">
      <c r="A281" s="13"/>
      <c r="B281" s="14"/>
      <c r="C281" s="15"/>
      <c r="D281" s="15"/>
      <c r="E281" s="91"/>
      <c r="F281" s="17"/>
      <c r="G281" s="17"/>
      <c r="H281" s="15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40"/>
      <c r="T281" s="17"/>
      <c r="U281" s="17"/>
      <c r="V281" s="15"/>
      <c r="W281" s="92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</row>
    <row r="282" spans="1:53" ht="14.25" x14ac:dyDescent="0.2">
      <c r="A282" s="13"/>
      <c r="B282" s="14"/>
      <c r="C282" s="15"/>
      <c r="D282" s="15"/>
      <c r="E282" s="91"/>
      <c r="F282" s="17"/>
      <c r="G282" s="17"/>
      <c r="H282" s="15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40"/>
      <c r="T282" s="17"/>
      <c r="U282" s="17"/>
      <c r="V282" s="15"/>
      <c r="W282" s="92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</row>
    <row r="283" spans="1:53" ht="14.25" x14ac:dyDescent="0.2">
      <c r="A283" s="13"/>
      <c r="B283" s="14"/>
      <c r="C283" s="15"/>
      <c r="D283" s="15"/>
      <c r="E283" s="91"/>
      <c r="F283" s="17"/>
      <c r="G283" s="17"/>
      <c r="H283" s="15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40"/>
      <c r="T283" s="17"/>
      <c r="U283" s="17"/>
      <c r="V283" s="15"/>
      <c r="W283" s="92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</row>
    <row r="284" spans="1:53" ht="14.25" x14ac:dyDescent="0.2">
      <c r="A284" s="13"/>
      <c r="B284" s="14"/>
      <c r="C284" s="15"/>
      <c r="D284" s="15"/>
      <c r="E284" s="91"/>
      <c r="F284" s="17"/>
      <c r="G284" s="17"/>
      <c r="H284" s="15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40"/>
      <c r="T284" s="17"/>
      <c r="U284" s="17"/>
      <c r="V284" s="15"/>
      <c r="W284" s="92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</row>
    <row r="285" spans="1:53" ht="14.25" x14ac:dyDescent="0.2">
      <c r="A285" s="13"/>
      <c r="B285" s="14"/>
      <c r="C285" s="15"/>
      <c r="D285" s="15"/>
      <c r="E285" s="91"/>
      <c r="F285" s="17"/>
      <c r="G285" s="17"/>
      <c r="H285" s="15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40"/>
      <c r="T285" s="17"/>
      <c r="U285" s="17"/>
      <c r="V285" s="15"/>
      <c r="W285" s="92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</row>
    <row r="286" spans="1:53" ht="14.25" x14ac:dyDescent="0.2">
      <c r="A286" s="13"/>
      <c r="B286" s="14"/>
      <c r="C286" s="15"/>
      <c r="D286" s="15"/>
      <c r="E286" s="91"/>
      <c r="F286" s="17"/>
      <c r="G286" s="17"/>
      <c r="H286" s="15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40"/>
      <c r="T286" s="17"/>
      <c r="U286" s="17"/>
      <c r="V286" s="15"/>
      <c r="W286" s="92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</row>
    <row r="287" spans="1:53" ht="14.25" x14ac:dyDescent="0.2">
      <c r="A287" s="13"/>
      <c r="B287" s="14"/>
      <c r="C287" s="15"/>
      <c r="D287" s="15"/>
      <c r="E287" s="91"/>
      <c r="F287" s="17"/>
      <c r="G287" s="17"/>
      <c r="H287" s="15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40"/>
      <c r="T287" s="17"/>
      <c r="U287" s="17"/>
      <c r="V287" s="15"/>
      <c r="W287" s="92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</row>
    <row r="288" spans="1:53" ht="14.25" x14ac:dyDescent="0.2">
      <c r="A288" s="13"/>
      <c r="B288" s="14"/>
      <c r="C288" s="15"/>
      <c r="D288" s="15"/>
      <c r="E288" s="91"/>
      <c r="F288" s="17"/>
      <c r="G288" s="17"/>
      <c r="H288" s="15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40"/>
      <c r="T288" s="17"/>
      <c r="U288" s="17"/>
      <c r="V288" s="15"/>
      <c r="W288" s="92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</row>
    <row r="289" spans="1:53" ht="14.25" x14ac:dyDescent="0.2">
      <c r="A289" s="13"/>
      <c r="B289" s="14"/>
      <c r="C289" s="15"/>
      <c r="D289" s="15"/>
      <c r="E289" s="91"/>
      <c r="F289" s="17"/>
      <c r="G289" s="17"/>
      <c r="H289" s="15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40"/>
      <c r="T289" s="17"/>
      <c r="U289" s="17"/>
      <c r="V289" s="15"/>
      <c r="W289" s="92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</row>
    <row r="290" spans="1:53" ht="14.25" x14ac:dyDescent="0.2">
      <c r="A290" s="13"/>
      <c r="B290" s="14"/>
      <c r="C290" s="15"/>
      <c r="D290" s="15"/>
      <c r="E290" s="91"/>
      <c r="F290" s="17"/>
      <c r="G290" s="17"/>
      <c r="H290" s="15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40"/>
      <c r="T290" s="17"/>
      <c r="U290" s="17"/>
      <c r="V290" s="15"/>
      <c r="W290" s="92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</row>
    <row r="291" spans="1:53" ht="14.25" x14ac:dyDescent="0.2">
      <c r="A291" s="13"/>
      <c r="B291" s="14"/>
      <c r="C291" s="15"/>
      <c r="D291" s="15"/>
      <c r="E291" s="91"/>
      <c r="F291" s="17"/>
      <c r="G291" s="17"/>
      <c r="H291" s="15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40"/>
      <c r="T291" s="17"/>
      <c r="U291" s="17"/>
      <c r="V291" s="15"/>
      <c r="W291" s="92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</row>
    <row r="292" spans="1:53" ht="14.25" x14ac:dyDescent="0.2">
      <c r="A292" s="13"/>
      <c r="B292" s="14"/>
      <c r="C292" s="15"/>
      <c r="D292" s="15"/>
      <c r="E292" s="91"/>
      <c r="F292" s="17"/>
      <c r="G292" s="17"/>
      <c r="H292" s="15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40"/>
      <c r="T292" s="17"/>
      <c r="U292" s="17"/>
      <c r="V292" s="15"/>
      <c r="W292" s="92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</row>
    <row r="293" spans="1:53" ht="14.25" x14ac:dyDescent="0.2">
      <c r="A293" s="13"/>
      <c r="B293" s="14"/>
      <c r="C293" s="15"/>
      <c r="D293" s="15"/>
      <c r="E293" s="91"/>
      <c r="F293" s="17"/>
      <c r="G293" s="17"/>
      <c r="H293" s="15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40"/>
      <c r="T293" s="17"/>
      <c r="U293" s="17"/>
      <c r="V293" s="15"/>
      <c r="W293" s="92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</row>
    <row r="294" spans="1:53" ht="14.25" x14ac:dyDescent="0.2">
      <c r="A294" s="13"/>
      <c r="B294" s="14"/>
      <c r="C294" s="15"/>
      <c r="D294" s="15"/>
      <c r="E294" s="91"/>
      <c r="F294" s="17"/>
      <c r="G294" s="17"/>
      <c r="H294" s="15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40"/>
      <c r="T294" s="17"/>
      <c r="U294" s="17"/>
      <c r="V294" s="15"/>
      <c r="W294" s="92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</row>
    <row r="295" spans="1:53" ht="14.25" x14ac:dyDescent="0.2">
      <c r="A295" s="13"/>
      <c r="B295" s="14"/>
      <c r="C295" s="15"/>
      <c r="D295" s="15"/>
      <c r="E295" s="91"/>
      <c r="F295" s="17"/>
      <c r="G295" s="17"/>
      <c r="H295" s="15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40"/>
      <c r="T295" s="17"/>
      <c r="U295" s="17"/>
      <c r="V295" s="15"/>
      <c r="W295" s="92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</row>
    <row r="296" spans="1:53" ht="14.25" x14ac:dyDescent="0.2">
      <c r="A296" s="13"/>
      <c r="B296" s="14"/>
      <c r="C296" s="15"/>
      <c r="D296" s="15"/>
      <c r="E296" s="91"/>
      <c r="F296" s="17"/>
      <c r="G296" s="17"/>
      <c r="H296" s="15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40"/>
      <c r="T296" s="17"/>
      <c r="U296" s="17"/>
      <c r="V296" s="15"/>
      <c r="W296" s="92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</row>
    <row r="297" spans="1:53" ht="14.25" x14ac:dyDescent="0.2">
      <c r="A297" s="13"/>
      <c r="B297" s="14"/>
      <c r="C297" s="15"/>
      <c r="D297" s="15"/>
      <c r="E297" s="91"/>
      <c r="F297" s="17"/>
      <c r="G297" s="17"/>
      <c r="H297" s="15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40"/>
      <c r="T297" s="17"/>
      <c r="U297" s="17"/>
      <c r="V297" s="15"/>
      <c r="W297" s="92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</row>
    <row r="298" spans="1:53" ht="14.25" x14ac:dyDescent="0.2">
      <c r="A298" s="13"/>
      <c r="B298" s="14"/>
      <c r="C298" s="15"/>
      <c r="D298" s="15"/>
      <c r="E298" s="91"/>
      <c r="F298" s="17"/>
      <c r="G298" s="17"/>
      <c r="H298" s="15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40"/>
      <c r="T298" s="17"/>
      <c r="U298" s="17"/>
      <c r="V298" s="15"/>
      <c r="W298" s="92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</row>
    <row r="299" spans="1:53" ht="14.25" x14ac:dyDescent="0.2">
      <c r="A299" s="13"/>
      <c r="B299" s="14"/>
      <c r="C299" s="15"/>
      <c r="D299" s="15"/>
      <c r="E299" s="91"/>
      <c r="F299" s="17"/>
      <c r="G299" s="17"/>
      <c r="H299" s="15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40"/>
      <c r="T299" s="17"/>
      <c r="U299" s="17"/>
      <c r="V299" s="15"/>
      <c r="W299" s="92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</row>
    <row r="300" spans="1:53" ht="14.25" x14ac:dyDescent="0.2">
      <c r="A300" s="13"/>
      <c r="B300" s="14"/>
      <c r="C300" s="15"/>
      <c r="D300" s="15"/>
      <c r="E300" s="91"/>
      <c r="F300" s="17"/>
      <c r="G300" s="17"/>
      <c r="H300" s="15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40"/>
      <c r="T300" s="17"/>
      <c r="U300" s="17"/>
      <c r="V300" s="15"/>
      <c r="W300" s="92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</row>
    <row r="301" spans="1:53" ht="14.25" x14ac:dyDescent="0.2">
      <c r="A301" s="13"/>
      <c r="B301" s="14"/>
      <c r="C301" s="15"/>
      <c r="D301" s="15"/>
      <c r="E301" s="91"/>
      <c r="F301" s="17"/>
      <c r="G301" s="17"/>
      <c r="H301" s="15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40"/>
      <c r="T301" s="17"/>
      <c r="U301" s="17"/>
      <c r="V301" s="15"/>
      <c r="W301" s="92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</row>
    <row r="302" spans="1:53" ht="14.25" x14ac:dyDescent="0.2">
      <c r="A302" s="13"/>
      <c r="B302" s="14"/>
      <c r="C302" s="15"/>
      <c r="D302" s="15"/>
      <c r="E302" s="91"/>
      <c r="F302" s="17"/>
      <c r="G302" s="17"/>
      <c r="H302" s="15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40"/>
      <c r="T302" s="17"/>
      <c r="U302" s="17"/>
      <c r="V302" s="15"/>
      <c r="W302" s="92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</row>
    <row r="303" spans="1:53" ht="14.25" x14ac:dyDescent="0.2">
      <c r="A303" s="13"/>
      <c r="B303" s="14"/>
      <c r="C303" s="15"/>
      <c r="D303" s="15"/>
      <c r="E303" s="91"/>
      <c r="F303" s="17"/>
      <c r="G303" s="17"/>
      <c r="H303" s="15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40"/>
      <c r="T303" s="17"/>
      <c r="U303" s="17"/>
      <c r="V303" s="15"/>
      <c r="W303" s="92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</row>
    <row r="304" spans="1:53" ht="14.25" x14ac:dyDescent="0.2">
      <c r="A304" s="13"/>
      <c r="B304" s="14"/>
      <c r="C304" s="15"/>
      <c r="D304" s="15"/>
      <c r="E304" s="91"/>
      <c r="F304" s="17"/>
      <c r="G304" s="17"/>
      <c r="H304" s="15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40"/>
      <c r="T304" s="17"/>
      <c r="U304" s="17"/>
      <c r="V304" s="15"/>
      <c r="W304" s="92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</row>
    <row r="305" spans="1:53" ht="14.25" x14ac:dyDescent="0.2">
      <c r="A305" s="13"/>
      <c r="B305" s="14"/>
      <c r="C305" s="15"/>
      <c r="D305" s="15"/>
      <c r="E305" s="91"/>
      <c r="F305" s="17"/>
      <c r="G305" s="17"/>
      <c r="H305" s="15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40"/>
      <c r="T305" s="17"/>
      <c r="U305" s="17"/>
      <c r="V305" s="15"/>
      <c r="W305" s="92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</row>
    <row r="306" spans="1:53" ht="14.25" x14ac:dyDescent="0.2">
      <c r="A306" s="13"/>
      <c r="B306" s="14"/>
      <c r="C306" s="15"/>
      <c r="D306" s="15"/>
      <c r="E306" s="91"/>
      <c r="F306" s="17"/>
      <c r="G306" s="17"/>
      <c r="H306" s="15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40"/>
      <c r="T306" s="17"/>
      <c r="U306" s="17"/>
      <c r="V306" s="15"/>
      <c r="W306" s="92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</row>
    <row r="307" spans="1:53" ht="14.25" x14ac:dyDescent="0.2">
      <c r="A307" s="13"/>
      <c r="B307" s="14"/>
      <c r="C307" s="15"/>
      <c r="D307" s="15"/>
      <c r="E307" s="91"/>
      <c r="F307" s="17"/>
      <c r="G307" s="17"/>
      <c r="H307" s="15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40"/>
      <c r="T307" s="17"/>
      <c r="U307" s="17"/>
      <c r="V307" s="15"/>
      <c r="W307" s="92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</row>
    <row r="308" spans="1:53" ht="14.25" x14ac:dyDescent="0.2">
      <c r="A308" s="13"/>
      <c r="B308" s="14"/>
      <c r="C308" s="15"/>
      <c r="D308" s="15"/>
      <c r="E308" s="91"/>
      <c r="F308" s="17"/>
      <c r="G308" s="17"/>
      <c r="H308" s="15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40"/>
      <c r="T308" s="17"/>
      <c r="U308" s="17"/>
      <c r="V308" s="15"/>
      <c r="W308" s="92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</row>
    <row r="309" spans="1:53" ht="14.25" x14ac:dyDescent="0.2">
      <c r="A309" s="13"/>
      <c r="B309" s="14"/>
      <c r="C309" s="15"/>
      <c r="D309" s="15"/>
      <c r="E309" s="91"/>
      <c r="F309" s="17"/>
      <c r="G309" s="17"/>
      <c r="H309" s="15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40"/>
      <c r="T309" s="17"/>
      <c r="U309" s="17"/>
      <c r="V309" s="15"/>
      <c r="W309" s="92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</row>
    <row r="310" spans="1:53" ht="14.25" x14ac:dyDescent="0.2">
      <c r="A310" s="13"/>
      <c r="B310" s="14"/>
      <c r="C310" s="15"/>
      <c r="D310" s="15"/>
      <c r="E310" s="91"/>
      <c r="F310" s="17"/>
      <c r="G310" s="17"/>
      <c r="H310" s="15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40"/>
      <c r="T310" s="17"/>
      <c r="U310" s="17"/>
      <c r="V310" s="15"/>
      <c r="W310" s="92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</row>
    <row r="311" spans="1:53" ht="14.25" x14ac:dyDescent="0.2">
      <c r="A311" s="13"/>
      <c r="B311" s="14"/>
      <c r="C311" s="15"/>
      <c r="D311" s="15"/>
      <c r="E311" s="91"/>
      <c r="F311" s="17"/>
      <c r="G311" s="17"/>
      <c r="H311" s="15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40"/>
      <c r="T311" s="17"/>
      <c r="U311" s="17"/>
      <c r="V311" s="15"/>
      <c r="W311" s="92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</row>
    <row r="312" spans="1:53" ht="14.25" x14ac:dyDescent="0.2">
      <c r="A312" s="13"/>
      <c r="B312" s="14"/>
      <c r="C312" s="15"/>
      <c r="D312" s="15"/>
      <c r="E312" s="91"/>
      <c r="F312" s="17"/>
      <c r="G312" s="17"/>
      <c r="H312" s="15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40"/>
      <c r="T312" s="17"/>
      <c r="U312" s="17"/>
      <c r="V312" s="15"/>
      <c r="W312" s="92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</row>
    <row r="313" spans="1:53" ht="14.25" x14ac:dyDescent="0.2">
      <c r="A313" s="13"/>
      <c r="B313" s="14"/>
      <c r="C313" s="15"/>
      <c r="D313" s="15"/>
      <c r="E313" s="91"/>
      <c r="F313" s="17"/>
      <c r="G313" s="17"/>
      <c r="H313" s="15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40"/>
      <c r="T313" s="17"/>
      <c r="U313" s="17"/>
      <c r="V313" s="15"/>
      <c r="W313" s="92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</row>
    <row r="314" spans="1:53" ht="14.25" x14ac:dyDescent="0.2">
      <c r="A314" s="13"/>
      <c r="B314" s="14"/>
      <c r="C314" s="15"/>
      <c r="D314" s="15"/>
      <c r="E314" s="91"/>
      <c r="F314" s="17"/>
      <c r="G314" s="17"/>
      <c r="H314" s="15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40"/>
      <c r="T314" s="17"/>
      <c r="U314" s="17"/>
      <c r="V314" s="15"/>
      <c r="W314" s="92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</row>
    <row r="315" spans="1:53" ht="14.25" x14ac:dyDescent="0.2">
      <c r="A315" s="13"/>
      <c r="B315" s="14"/>
      <c r="C315" s="15"/>
      <c r="D315" s="15"/>
      <c r="E315" s="91"/>
      <c r="F315" s="17"/>
      <c r="G315" s="17"/>
      <c r="H315" s="15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40"/>
      <c r="T315" s="17"/>
      <c r="U315" s="17"/>
      <c r="V315" s="15"/>
      <c r="W315" s="92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</row>
    <row r="316" spans="1:53" ht="14.25" x14ac:dyDescent="0.2">
      <c r="A316" s="13"/>
      <c r="B316" s="14"/>
      <c r="C316" s="15"/>
      <c r="D316" s="15"/>
      <c r="E316" s="91"/>
      <c r="F316" s="17"/>
      <c r="G316" s="17"/>
      <c r="H316" s="15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40"/>
      <c r="T316" s="17"/>
      <c r="U316" s="17"/>
      <c r="V316" s="15"/>
      <c r="W316" s="92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</row>
    <row r="317" spans="1:53" ht="14.25" x14ac:dyDescent="0.2">
      <c r="A317" s="13"/>
      <c r="B317" s="14"/>
      <c r="C317" s="15"/>
      <c r="D317" s="15"/>
      <c r="E317" s="91"/>
      <c r="F317" s="17"/>
      <c r="G317" s="17"/>
      <c r="H317" s="15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40"/>
      <c r="T317" s="17"/>
      <c r="U317" s="17"/>
      <c r="V317" s="15"/>
      <c r="W317" s="92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</row>
    <row r="318" spans="1:53" ht="14.25" x14ac:dyDescent="0.2">
      <c r="A318" s="13"/>
      <c r="B318" s="14"/>
      <c r="C318" s="15"/>
      <c r="D318" s="15"/>
      <c r="E318" s="91"/>
      <c r="F318" s="17"/>
      <c r="G318" s="17"/>
      <c r="H318" s="15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40"/>
      <c r="T318" s="17"/>
      <c r="U318" s="17"/>
      <c r="V318" s="15"/>
      <c r="W318" s="92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</row>
    <row r="319" spans="1:53" ht="14.25" x14ac:dyDescent="0.2">
      <c r="A319" s="13"/>
      <c r="B319" s="14"/>
      <c r="C319" s="15"/>
      <c r="D319" s="15"/>
      <c r="E319" s="91"/>
      <c r="F319" s="17"/>
      <c r="G319" s="17"/>
      <c r="H319" s="15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40"/>
      <c r="T319" s="17"/>
      <c r="U319" s="17"/>
      <c r="V319" s="15"/>
      <c r="W319" s="92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</row>
    <row r="320" spans="1:53" ht="14.25" x14ac:dyDescent="0.2">
      <c r="A320" s="13"/>
      <c r="B320" s="14"/>
      <c r="C320" s="15"/>
      <c r="D320" s="15"/>
      <c r="E320" s="91"/>
      <c r="F320" s="17"/>
      <c r="G320" s="17"/>
      <c r="H320" s="15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40"/>
      <c r="T320" s="17"/>
      <c r="U320" s="17"/>
      <c r="V320" s="15"/>
      <c r="W320" s="92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</row>
    <row r="321" spans="1:53" ht="14.25" x14ac:dyDescent="0.2">
      <c r="A321" s="13"/>
      <c r="B321" s="14"/>
      <c r="C321" s="15"/>
      <c r="D321" s="15"/>
      <c r="E321" s="91"/>
      <c r="F321" s="17"/>
      <c r="G321" s="17"/>
      <c r="H321" s="15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40"/>
      <c r="T321" s="17"/>
      <c r="U321" s="17"/>
      <c r="V321" s="15"/>
      <c r="W321" s="92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</row>
    <row r="322" spans="1:53" ht="14.25" x14ac:dyDescent="0.2">
      <c r="A322" s="13"/>
      <c r="B322" s="14"/>
      <c r="C322" s="15"/>
      <c r="D322" s="15"/>
      <c r="E322" s="91"/>
      <c r="F322" s="17"/>
      <c r="G322" s="17"/>
      <c r="H322" s="15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40"/>
      <c r="T322" s="17"/>
      <c r="U322" s="17"/>
      <c r="V322" s="15"/>
      <c r="W322" s="92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</row>
    <row r="323" spans="1:53" ht="14.25" x14ac:dyDescent="0.2">
      <c r="A323" s="13"/>
      <c r="B323" s="14"/>
      <c r="C323" s="15"/>
      <c r="D323" s="15"/>
      <c r="E323" s="91"/>
      <c r="F323" s="17"/>
      <c r="G323" s="17"/>
      <c r="H323" s="15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40"/>
      <c r="T323" s="17"/>
      <c r="U323" s="17"/>
      <c r="V323" s="15"/>
      <c r="W323" s="92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</row>
    <row r="324" spans="1:53" ht="14.25" x14ac:dyDescent="0.2">
      <c r="A324" s="13"/>
      <c r="B324" s="14"/>
      <c r="C324" s="15"/>
      <c r="D324" s="15"/>
      <c r="E324" s="91"/>
      <c r="F324" s="17"/>
      <c r="G324" s="17"/>
      <c r="H324" s="15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40"/>
      <c r="T324" s="17"/>
      <c r="U324" s="17"/>
      <c r="V324" s="15"/>
      <c r="W324" s="92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</row>
    <row r="325" spans="1:53" ht="14.25" x14ac:dyDescent="0.2">
      <c r="A325" s="13"/>
      <c r="B325" s="14"/>
      <c r="C325" s="15"/>
      <c r="D325" s="15"/>
      <c r="E325" s="91"/>
      <c r="F325" s="17"/>
      <c r="G325" s="17"/>
      <c r="H325" s="15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40"/>
      <c r="T325" s="17"/>
      <c r="U325" s="17"/>
      <c r="V325" s="15"/>
      <c r="W325" s="92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</row>
    <row r="326" spans="1:53" ht="14.25" x14ac:dyDescent="0.2">
      <c r="A326" s="13"/>
      <c r="B326" s="14"/>
      <c r="C326" s="15"/>
      <c r="D326" s="15"/>
      <c r="E326" s="91"/>
      <c r="F326" s="17"/>
      <c r="G326" s="17"/>
      <c r="H326" s="15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40"/>
      <c r="T326" s="17"/>
      <c r="U326" s="17"/>
      <c r="V326" s="15"/>
      <c r="W326" s="92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</row>
    <row r="327" spans="1:53" ht="14.25" x14ac:dyDescent="0.2">
      <c r="A327" s="13"/>
      <c r="B327" s="14"/>
      <c r="C327" s="15"/>
      <c r="D327" s="15"/>
      <c r="E327" s="91"/>
      <c r="F327" s="17"/>
      <c r="G327" s="17"/>
      <c r="H327" s="15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40"/>
      <c r="T327" s="17"/>
      <c r="U327" s="17"/>
      <c r="V327" s="15"/>
      <c r="W327" s="92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</row>
    <row r="328" spans="1:53" ht="14.25" x14ac:dyDescent="0.2">
      <c r="A328" s="13"/>
      <c r="B328" s="14"/>
      <c r="C328" s="15"/>
      <c r="D328" s="15"/>
      <c r="E328" s="91"/>
      <c r="F328" s="17"/>
      <c r="G328" s="17"/>
      <c r="H328" s="15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40"/>
      <c r="T328" s="17"/>
      <c r="U328" s="17"/>
      <c r="V328" s="15"/>
      <c r="W328" s="92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</row>
    <row r="329" spans="1:53" ht="14.25" x14ac:dyDescent="0.2">
      <c r="A329" s="13"/>
      <c r="B329" s="14"/>
      <c r="C329" s="15"/>
      <c r="D329" s="15"/>
      <c r="E329" s="91"/>
      <c r="F329" s="17"/>
      <c r="G329" s="17"/>
      <c r="H329" s="15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40"/>
      <c r="T329" s="17"/>
      <c r="U329" s="17"/>
      <c r="V329" s="15"/>
      <c r="W329" s="92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</row>
    <row r="330" spans="1:53" ht="14.25" x14ac:dyDescent="0.2">
      <c r="A330" s="13"/>
      <c r="B330" s="14"/>
      <c r="C330" s="15"/>
      <c r="D330" s="15"/>
      <c r="E330" s="91"/>
      <c r="F330" s="17"/>
      <c r="G330" s="17"/>
      <c r="H330" s="15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40"/>
      <c r="T330" s="17"/>
      <c r="U330" s="17"/>
      <c r="V330" s="15"/>
      <c r="W330" s="92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</row>
    <row r="331" spans="1:53" ht="14.25" x14ac:dyDescent="0.2">
      <c r="A331" s="13"/>
      <c r="B331" s="14"/>
      <c r="C331" s="15"/>
      <c r="D331" s="15"/>
      <c r="E331" s="91"/>
      <c r="F331" s="17"/>
      <c r="G331" s="17"/>
      <c r="H331" s="15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40"/>
      <c r="T331" s="17"/>
      <c r="U331" s="17"/>
      <c r="V331" s="15"/>
      <c r="W331" s="92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</row>
    <row r="332" spans="1:53" ht="14.25" x14ac:dyDescent="0.2">
      <c r="A332" s="13"/>
      <c r="B332" s="14"/>
      <c r="C332" s="15"/>
      <c r="D332" s="15"/>
      <c r="E332" s="91"/>
      <c r="F332" s="17"/>
      <c r="G332" s="17"/>
      <c r="H332" s="15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40"/>
      <c r="T332" s="17"/>
      <c r="U332" s="17"/>
      <c r="V332" s="15"/>
      <c r="W332" s="92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</row>
    <row r="333" spans="1:53" ht="14.25" x14ac:dyDescent="0.2">
      <c r="A333" s="13"/>
      <c r="B333" s="14"/>
      <c r="C333" s="15"/>
      <c r="D333" s="15"/>
      <c r="E333" s="91"/>
      <c r="F333" s="17"/>
      <c r="G333" s="17"/>
      <c r="H333" s="15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40"/>
      <c r="T333" s="17"/>
      <c r="U333" s="17"/>
      <c r="V333" s="15"/>
      <c r="W333" s="92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</row>
    <row r="334" spans="1:53" ht="14.25" x14ac:dyDescent="0.2">
      <c r="A334" s="13"/>
      <c r="B334" s="14"/>
      <c r="C334" s="15"/>
      <c r="D334" s="15"/>
      <c r="E334" s="91"/>
      <c r="F334" s="17"/>
      <c r="G334" s="17"/>
      <c r="H334" s="15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40"/>
      <c r="T334" s="17"/>
      <c r="U334" s="17"/>
      <c r="V334" s="15"/>
      <c r="W334" s="92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</row>
    <row r="335" spans="1:53" ht="14.25" x14ac:dyDescent="0.2">
      <c r="A335" s="13"/>
      <c r="B335" s="14"/>
      <c r="C335" s="15"/>
      <c r="D335" s="15"/>
      <c r="E335" s="91"/>
      <c r="F335" s="17"/>
      <c r="G335" s="17"/>
      <c r="H335" s="15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40"/>
      <c r="T335" s="17"/>
      <c r="U335" s="17"/>
      <c r="V335" s="15"/>
      <c r="W335" s="92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</row>
    <row r="336" spans="1:53" ht="14.25" x14ac:dyDescent="0.2">
      <c r="A336" s="13"/>
      <c r="B336" s="14"/>
      <c r="C336" s="15"/>
      <c r="D336" s="15"/>
      <c r="E336" s="91"/>
      <c r="F336" s="17"/>
      <c r="G336" s="17"/>
      <c r="H336" s="15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40"/>
      <c r="T336" s="17"/>
      <c r="U336" s="17"/>
      <c r="V336" s="15"/>
      <c r="W336" s="92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</row>
    <row r="337" spans="1:53" ht="14.25" x14ac:dyDescent="0.2">
      <c r="A337" s="13"/>
      <c r="B337" s="14"/>
      <c r="C337" s="15"/>
      <c r="D337" s="15"/>
      <c r="E337" s="91"/>
      <c r="F337" s="17"/>
      <c r="G337" s="17"/>
      <c r="H337" s="15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40"/>
      <c r="T337" s="17"/>
      <c r="U337" s="17"/>
      <c r="V337" s="15"/>
      <c r="W337" s="92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</row>
    <row r="338" spans="1:53" ht="14.25" x14ac:dyDescent="0.2">
      <c r="A338" s="13"/>
      <c r="B338" s="14"/>
      <c r="C338" s="15"/>
      <c r="D338" s="15"/>
      <c r="E338" s="91"/>
      <c r="F338" s="17"/>
      <c r="G338" s="17"/>
      <c r="H338" s="15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40"/>
      <c r="T338" s="17"/>
      <c r="U338" s="17"/>
      <c r="V338" s="15"/>
      <c r="W338" s="92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</row>
    <row r="339" spans="1:53" ht="14.25" x14ac:dyDescent="0.2">
      <c r="A339" s="13"/>
      <c r="B339" s="14"/>
      <c r="C339" s="15"/>
      <c r="D339" s="15"/>
      <c r="E339" s="91"/>
      <c r="F339" s="17"/>
      <c r="G339" s="17"/>
      <c r="H339" s="15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40"/>
      <c r="T339" s="17"/>
      <c r="U339" s="17"/>
      <c r="V339" s="15"/>
      <c r="W339" s="92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</row>
    <row r="340" spans="1:53" ht="14.25" x14ac:dyDescent="0.2">
      <c r="A340" s="13"/>
      <c r="B340" s="14"/>
      <c r="C340" s="15"/>
      <c r="D340" s="15"/>
      <c r="E340" s="91"/>
      <c r="F340" s="17"/>
      <c r="G340" s="17"/>
      <c r="H340" s="15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40"/>
      <c r="T340" s="17"/>
      <c r="U340" s="17"/>
      <c r="V340" s="15"/>
      <c r="W340" s="92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</row>
    <row r="341" spans="1:53" ht="14.25" x14ac:dyDescent="0.2">
      <c r="A341" s="13"/>
      <c r="B341" s="14"/>
      <c r="C341" s="15"/>
      <c r="D341" s="15"/>
      <c r="E341" s="91"/>
      <c r="F341" s="17"/>
      <c r="G341" s="17"/>
      <c r="H341" s="15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40"/>
      <c r="T341" s="17"/>
      <c r="U341" s="17"/>
      <c r="V341" s="15"/>
      <c r="W341" s="92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</row>
    <row r="342" spans="1:53" ht="14.25" x14ac:dyDescent="0.2">
      <c r="A342" s="13"/>
      <c r="B342" s="14"/>
      <c r="C342" s="15"/>
      <c r="D342" s="15"/>
      <c r="E342" s="91"/>
      <c r="F342" s="17"/>
      <c r="G342" s="17"/>
      <c r="H342" s="15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40"/>
      <c r="T342" s="17"/>
      <c r="U342" s="17"/>
      <c r="V342" s="15"/>
      <c r="W342" s="92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</row>
    <row r="343" spans="1:53" ht="14.25" x14ac:dyDescent="0.2">
      <c r="A343" s="13"/>
      <c r="B343" s="14"/>
      <c r="C343" s="15"/>
      <c r="D343" s="15"/>
      <c r="E343" s="91"/>
      <c r="F343" s="17"/>
      <c r="G343" s="17"/>
      <c r="H343" s="15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40"/>
      <c r="T343" s="17"/>
      <c r="U343" s="17"/>
      <c r="V343" s="15"/>
      <c r="W343" s="92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</row>
    <row r="344" spans="1:53" ht="14.25" x14ac:dyDescent="0.2">
      <c r="A344" s="13"/>
      <c r="B344" s="14"/>
      <c r="C344" s="15"/>
      <c r="D344" s="15"/>
      <c r="E344" s="91"/>
      <c r="F344" s="17"/>
      <c r="G344" s="17"/>
      <c r="H344" s="15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40"/>
      <c r="T344" s="17"/>
      <c r="U344" s="17"/>
      <c r="V344" s="15"/>
      <c r="W344" s="92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</row>
    <row r="345" spans="1:53" ht="14.25" x14ac:dyDescent="0.2">
      <c r="A345" s="13"/>
      <c r="B345" s="14"/>
      <c r="C345" s="15"/>
      <c r="D345" s="15"/>
      <c r="E345" s="91"/>
      <c r="F345" s="17"/>
      <c r="G345" s="17"/>
      <c r="H345" s="15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40"/>
      <c r="T345" s="17"/>
      <c r="U345" s="17"/>
      <c r="V345" s="15"/>
      <c r="W345" s="92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</row>
    <row r="346" spans="1:53" ht="14.25" x14ac:dyDescent="0.2">
      <c r="A346" s="13"/>
      <c r="B346" s="14"/>
      <c r="C346" s="15"/>
      <c r="D346" s="15"/>
      <c r="E346" s="91"/>
      <c r="F346" s="17"/>
      <c r="G346" s="17"/>
      <c r="H346" s="15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40"/>
      <c r="T346" s="17"/>
      <c r="U346" s="17"/>
      <c r="V346" s="15"/>
      <c r="W346" s="92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</row>
    <row r="347" spans="1:53" ht="14.25" x14ac:dyDescent="0.2">
      <c r="A347" s="13"/>
      <c r="B347" s="14"/>
      <c r="C347" s="15"/>
      <c r="D347" s="15"/>
      <c r="E347" s="91"/>
      <c r="F347" s="17"/>
      <c r="G347" s="17"/>
      <c r="H347" s="15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40"/>
      <c r="T347" s="17"/>
      <c r="U347" s="17"/>
      <c r="V347" s="15"/>
      <c r="W347" s="92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</row>
    <row r="348" spans="1:53" ht="14.25" x14ac:dyDescent="0.2">
      <c r="A348" s="13"/>
      <c r="B348" s="14"/>
      <c r="C348" s="15"/>
      <c r="D348" s="15"/>
      <c r="E348" s="91"/>
      <c r="F348" s="17"/>
      <c r="G348" s="17"/>
      <c r="H348" s="15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40"/>
      <c r="T348" s="17"/>
      <c r="U348" s="17"/>
      <c r="V348" s="15"/>
      <c r="W348" s="92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</row>
    <row r="349" spans="1:53" ht="14.25" x14ac:dyDescent="0.2">
      <c r="A349" s="13"/>
      <c r="B349" s="14"/>
      <c r="C349" s="15"/>
      <c r="D349" s="15"/>
      <c r="E349" s="91"/>
      <c r="F349" s="17"/>
      <c r="G349" s="17"/>
      <c r="H349" s="15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40"/>
      <c r="T349" s="17"/>
      <c r="U349" s="17"/>
      <c r="V349" s="15"/>
      <c r="W349" s="92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</row>
    <row r="350" spans="1:53" ht="14.25" x14ac:dyDescent="0.2">
      <c r="A350" s="13"/>
      <c r="B350" s="14"/>
      <c r="C350" s="15"/>
      <c r="D350" s="15"/>
      <c r="E350" s="91"/>
      <c r="F350" s="17"/>
      <c r="G350" s="17"/>
      <c r="H350" s="15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40"/>
      <c r="T350" s="17"/>
      <c r="U350" s="17"/>
      <c r="V350" s="15"/>
      <c r="W350" s="92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</row>
    <row r="351" spans="1:53" ht="14.25" x14ac:dyDescent="0.2">
      <c r="A351" s="13"/>
      <c r="B351" s="14"/>
      <c r="C351" s="15"/>
      <c r="D351" s="15"/>
      <c r="E351" s="91"/>
      <c r="F351" s="17"/>
      <c r="G351" s="17"/>
      <c r="H351" s="15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40"/>
      <c r="T351" s="17"/>
      <c r="U351" s="17"/>
      <c r="V351" s="15"/>
      <c r="W351" s="92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</row>
    <row r="352" spans="1:53" ht="14.25" x14ac:dyDescent="0.2">
      <c r="A352" s="13"/>
      <c r="B352" s="14"/>
      <c r="C352" s="15"/>
      <c r="D352" s="15"/>
      <c r="E352" s="91"/>
      <c r="F352" s="17"/>
      <c r="G352" s="17"/>
      <c r="H352" s="15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40"/>
      <c r="T352" s="17"/>
      <c r="U352" s="17"/>
      <c r="V352" s="15"/>
      <c r="W352" s="92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</row>
    <row r="353" spans="1:53" ht="14.25" x14ac:dyDescent="0.2">
      <c r="A353" s="13"/>
      <c r="B353" s="14"/>
      <c r="C353" s="15"/>
      <c r="D353" s="15"/>
      <c r="E353" s="91"/>
      <c r="F353" s="17"/>
      <c r="G353" s="17"/>
      <c r="H353" s="15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40"/>
      <c r="T353" s="17"/>
      <c r="U353" s="17"/>
      <c r="V353" s="15"/>
      <c r="W353" s="92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</row>
    <row r="354" spans="1:53" ht="14.25" x14ac:dyDescent="0.2">
      <c r="A354" s="13"/>
      <c r="B354" s="14"/>
      <c r="C354" s="15"/>
      <c r="D354" s="15"/>
      <c r="E354" s="91"/>
      <c r="F354" s="17"/>
      <c r="G354" s="17"/>
      <c r="H354" s="15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40"/>
      <c r="T354" s="17"/>
      <c r="U354" s="17"/>
      <c r="V354" s="15"/>
      <c r="W354" s="92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</row>
    <row r="355" spans="1:53" ht="14.25" x14ac:dyDescent="0.2">
      <c r="A355" s="13"/>
      <c r="B355" s="14"/>
      <c r="C355" s="15"/>
      <c r="D355" s="15"/>
      <c r="E355" s="91"/>
      <c r="F355" s="17"/>
      <c r="G355" s="17"/>
      <c r="H355" s="15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40"/>
      <c r="T355" s="17"/>
      <c r="U355" s="17"/>
      <c r="V355" s="15"/>
      <c r="W355" s="92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</row>
    <row r="356" spans="1:53" ht="14.25" x14ac:dyDescent="0.2">
      <c r="A356" s="13"/>
      <c r="B356" s="14"/>
      <c r="C356" s="15"/>
      <c r="D356" s="15"/>
      <c r="E356" s="91"/>
      <c r="F356" s="17"/>
      <c r="G356" s="17"/>
      <c r="H356" s="15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40"/>
      <c r="T356" s="17"/>
      <c r="U356" s="17"/>
      <c r="V356" s="15"/>
      <c r="W356" s="92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</row>
    <row r="357" spans="1:53" ht="14.25" x14ac:dyDescent="0.2">
      <c r="A357" s="13"/>
      <c r="B357" s="14"/>
      <c r="C357" s="15"/>
      <c r="D357" s="15"/>
      <c r="E357" s="91"/>
      <c r="F357" s="17"/>
      <c r="G357" s="17"/>
      <c r="H357" s="15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40"/>
      <c r="T357" s="17"/>
      <c r="U357" s="17"/>
      <c r="V357" s="15"/>
      <c r="W357" s="92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</row>
    <row r="358" spans="1:53" ht="14.25" x14ac:dyDescent="0.2">
      <c r="A358" s="13"/>
      <c r="B358" s="14"/>
      <c r="C358" s="15"/>
      <c r="D358" s="15"/>
      <c r="E358" s="91"/>
      <c r="F358" s="17"/>
      <c r="G358" s="17"/>
      <c r="H358" s="15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40"/>
      <c r="T358" s="17"/>
      <c r="U358" s="17"/>
      <c r="V358" s="15"/>
      <c r="W358" s="92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</row>
    <row r="359" spans="1:53" ht="14.25" x14ac:dyDescent="0.2">
      <c r="A359" s="13"/>
      <c r="B359" s="14"/>
      <c r="C359" s="15"/>
      <c r="D359" s="15"/>
      <c r="E359" s="91"/>
      <c r="F359" s="17"/>
      <c r="G359" s="17"/>
      <c r="H359" s="15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40"/>
      <c r="T359" s="17"/>
      <c r="U359" s="17"/>
      <c r="V359" s="15"/>
      <c r="W359" s="92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</row>
    <row r="360" spans="1:53" ht="14.25" x14ac:dyDescent="0.2">
      <c r="A360" s="13"/>
      <c r="B360" s="14"/>
      <c r="C360" s="15"/>
      <c r="D360" s="15"/>
      <c r="E360" s="91"/>
      <c r="F360" s="17"/>
      <c r="G360" s="17"/>
      <c r="H360" s="15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40"/>
      <c r="T360" s="17"/>
      <c r="U360" s="17"/>
      <c r="V360" s="15"/>
      <c r="W360" s="92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</row>
    <row r="361" spans="1:53" ht="14.25" x14ac:dyDescent="0.2">
      <c r="A361" s="13"/>
      <c r="B361" s="14"/>
      <c r="C361" s="15"/>
      <c r="D361" s="15"/>
      <c r="E361" s="91"/>
      <c r="F361" s="17"/>
      <c r="G361" s="17"/>
      <c r="H361" s="15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40"/>
      <c r="T361" s="17"/>
      <c r="U361" s="17"/>
      <c r="V361" s="15"/>
      <c r="W361" s="92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</row>
    <row r="362" spans="1:53" ht="14.25" x14ac:dyDescent="0.2">
      <c r="A362" s="13"/>
      <c r="B362" s="14"/>
      <c r="C362" s="15"/>
      <c r="D362" s="15"/>
      <c r="E362" s="91"/>
      <c r="F362" s="17"/>
      <c r="G362" s="17"/>
      <c r="H362" s="15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40"/>
      <c r="T362" s="17"/>
      <c r="U362" s="17"/>
      <c r="V362" s="15"/>
      <c r="W362" s="92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</row>
    <row r="363" spans="1:53" ht="14.25" x14ac:dyDescent="0.2">
      <c r="A363" s="13"/>
      <c r="B363" s="14"/>
      <c r="C363" s="15"/>
      <c r="D363" s="15"/>
      <c r="E363" s="91"/>
      <c r="F363" s="17"/>
      <c r="G363" s="17"/>
      <c r="H363" s="15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40"/>
      <c r="T363" s="17"/>
      <c r="U363" s="17"/>
      <c r="V363" s="15"/>
      <c r="W363" s="92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</row>
    <row r="364" spans="1:53" ht="14.25" x14ac:dyDescent="0.2">
      <c r="A364" s="13"/>
      <c r="B364" s="14"/>
      <c r="C364" s="15"/>
      <c r="D364" s="15"/>
      <c r="E364" s="91"/>
      <c r="F364" s="17"/>
      <c r="G364" s="17"/>
      <c r="H364" s="15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40"/>
      <c r="T364" s="17"/>
      <c r="U364" s="17"/>
      <c r="V364" s="15"/>
      <c r="W364" s="92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</row>
    <row r="365" spans="1:53" ht="14.25" x14ac:dyDescent="0.2">
      <c r="A365" s="13"/>
      <c r="B365" s="14"/>
      <c r="C365" s="15"/>
      <c r="D365" s="15"/>
      <c r="E365" s="91"/>
      <c r="F365" s="17"/>
      <c r="G365" s="17"/>
      <c r="H365" s="15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40"/>
      <c r="T365" s="17"/>
      <c r="U365" s="17"/>
      <c r="V365" s="15"/>
      <c r="W365" s="92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</row>
    <row r="366" spans="1:53" ht="14.25" x14ac:dyDescent="0.2">
      <c r="A366" s="13"/>
      <c r="B366" s="14"/>
      <c r="C366" s="15"/>
      <c r="D366" s="15"/>
      <c r="E366" s="91"/>
      <c r="F366" s="17"/>
      <c r="G366" s="17"/>
      <c r="H366" s="15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40"/>
      <c r="T366" s="17"/>
      <c r="U366" s="17"/>
      <c r="V366" s="15"/>
      <c r="W366" s="92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</row>
    <row r="367" spans="1:53" ht="14.25" x14ac:dyDescent="0.2">
      <c r="A367" s="13"/>
      <c r="B367" s="14"/>
      <c r="C367" s="15"/>
      <c r="D367" s="15"/>
      <c r="E367" s="91"/>
      <c r="F367" s="17"/>
      <c r="G367" s="17"/>
      <c r="H367" s="15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40"/>
      <c r="T367" s="17"/>
      <c r="U367" s="17"/>
      <c r="V367" s="15"/>
      <c r="W367" s="92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</row>
    <row r="368" spans="1:53" ht="14.25" x14ac:dyDescent="0.2">
      <c r="A368" s="13"/>
      <c r="B368" s="14"/>
      <c r="C368" s="15"/>
      <c r="D368" s="15"/>
      <c r="E368" s="91"/>
      <c r="F368" s="17"/>
      <c r="G368" s="17"/>
      <c r="H368" s="15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40"/>
      <c r="T368" s="17"/>
      <c r="U368" s="17"/>
      <c r="V368" s="15"/>
      <c r="W368" s="92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</row>
    <row r="369" spans="1:53" ht="14.25" x14ac:dyDescent="0.2">
      <c r="A369" s="13"/>
      <c r="B369" s="14"/>
      <c r="C369" s="15"/>
      <c r="D369" s="15"/>
      <c r="E369" s="91"/>
      <c r="F369" s="17"/>
      <c r="G369" s="17"/>
      <c r="H369" s="15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40"/>
      <c r="T369" s="17"/>
      <c r="U369" s="17"/>
      <c r="V369" s="15"/>
      <c r="W369" s="92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</row>
    <row r="370" spans="1:53" ht="14.25" x14ac:dyDescent="0.2">
      <c r="A370" s="13"/>
      <c r="B370" s="14"/>
      <c r="C370" s="15"/>
      <c r="D370" s="15"/>
      <c r="E370" s="91"/>
      <c r="F370" s="17"/>
      <c r="G370" s="17"/>
      <c r="H370" s="15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40"/>
      <c r="T370" s="17"/>
      <c r="U370" s="17"/>
      <c r="V370" s="15"/>
      <c r="W370" s="92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</row>
    <row r="371" spans="1:53" ht="14.25" x14ac:dyDescent="0.2">
      <c r="A371" s="13"/>
      <c r="B371" s="14"/>
      <c r="C371" s="15"/>
      <c r="D371" s="15"/>
      <c r="E371" s="91"/>
      <c r="F371" s="17"/>
      <c r="G371" s="17"/>
      <c r="H371" s="15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40"/>
      <c r="T371" s="17"/>
      <c r="U371" s="17"/>
      <c r="V371" s="15"/>
      <c r="W371" s="92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</row>
    <row r="372" spans="1:53" ht="14.25" x14ac:dyDescent="0.2">
      <c r="A372" s="13"/>
      <c r="B372" s="14"/>
      <c r="C372" s="15"/>
      <c r="D372" s="15"/>
      <c r="E372" s="91"/>
      <c r="F372" s="17"/>
      <c r="G372" s="17"/>
      <c r="H372" s="15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40"/>
      <c r="T372" s="17"/>
      <c r="U372" s="17"/>
      <c r="V372" s="15"/>
      <c r="W372" s="92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</row>
    <row r="373" spans="1:53" ht="14.25" x14ac:dyDescent="0.2">
      <c r="A373" s="13"/>
      <c r="B373" s="14"/>
      <c r="C373" s="15"/>
      <c r="D373" s="15"/>
      <c r="E373" s="91"/>
      <c r="F373" s="17"/>
      <c r="G373" s="17"/>
      <c r="H373" s="15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40"/>
      <c r="T373" s="17"/>
      <c r="U373" s="17"/>
      <c r="V373" s="15"/>
      <c r="W373" s="92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</row>
    <row r="374" spans="1:53" ht="14.25" x14ac:dyDescent="0.2">
      <c r="A374" s="13"/>
      <c r="B374" s="14"/>
      <c r="C374" s="15"/>
      <c r="D374" s="15"/>
      <c r="E374" s="91"/>
      <c r="F374" s="17"/>
      <c r="G374" s="17"/>
      <c r="H374" s="15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40"/>
      <c r="T374" s="17"/>
      <c r="U374" s="17"/>
      <c r="V374" s="15"/>
      <c r="W374" s="92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</row>
    <row r="375" spans="1:53" ht="14.25" x14ac:dyDescent="0.2">
      <c r="A375" s="13"/>
      <c r="B375" s="14"/>
      <c r="C375" s="15"/>
      <c r="D375" s="15"/>
      <c r="E375" s="91"/>
      <c r="F375" s="17"/>
      <c r="G375" s="17"/>
      <c r="H375" s="15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40"/>
      <c r="T375" s="17"/>
      <c r="U375" s="17"/>
      <c r="V375" s="15"/>
      <c r="W375" s="92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</row>
    <row r="376" spans="1:53" ht="14.25" x14ac:dyDescent="0.2">
      <c r="A376" s="13"/>
      <c r="B376" s="14"/>
      <c r="C376" s="15"/>
      <c r="D376" s="15"/>
      <c r="E376" s="91"/>
      <c r="F376" s="17"/>
      <c r="G376" s="17"/>
      <c r="H376" s="15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40"/>
      <c r="T376" s="17"/>
      <c r="U376" s="17"/>
      <c r="V376" s="15"/>
      <c r="W376" s="92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</row>
    <row r="377" spans="1:53" ht="14.25" x14ac:dyDescent="0.2">
      <c r="A377" s="13"/>
      <c r="B377" s="14"/>
      <c r="C377" s="15"/>
      <c r="D377" s="15"/>
      <c r="E377" s="91"/>
      <c r="F377" s="17"/>
      <c r="G377" s="17"/>
      <c r="H377" s="15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40"/>
      <c r="T377" s="17"/>
      <c r="U377" s="17"/>
      <c r="V377" s="15"/>
      <c r="W377" s="92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</row>
    <row r="378" spans="1:53" ht="14.25" x14ac:dyDescent="0.2">
      <c r="A378" s="13"/>
      <c r="B378" s="14"/>
      <c r="C378" s="15"/>
      <c r="D378" s="15"/>
      <c r="E378" s="91"/>
      <c r="F378" s="17"/>
      <c r="G378" s="17"/>
      <c r="H378" s="15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40"/>
      <c r="T378" s="17"/>
      <c r="U378" s="17"/>
      <c r="V378" s="15"/>
      <c r="W378" s="92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</row>
    <row r="379" spans="1:53" ht="14.25" x14ac:dyDescent="0.2">
      <c r="A379" s="13"/>
      <c r="B379" s="14"/>
      <c r="C379" s="15"/>
      <c r="D379" s="15"/>
      <c r="E379" s="91"/>
      <c r="F379" s="17"/>
      <c r="G379" s="17"/>
      <c r="H379" s="15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40"/>
      <c r="T379" s="17"/>
      <c r="U379" s="17"/>
      <c r="V379" s="15"/>
      <c r="W379" s="92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</row>
    <row r="380" spans="1:53" ht="14.25" x14ac:dyDescent="0.2">
      <c r="A380" s="13"/>
      <c r="B380" s="14"/>
      <c r="C380" s="15"/>
      <c r="D380" s="15"/>
      <c r="E380" s="91"/>
      <c r="F380" s="17"/>
      <c r="G380" s="17"/>
      <c r="H380" s="15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40"/>
      <c r="T380" s="17"/>
      <c r="U380" s="17"/>
      <c r="V380" s="15"/>
      <c r="W380" s="92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</row>
    <row r="381" spans="1:53" ht="14.25" x14ac:dyDescent="0.2">
      <c r="A381" s="13"/>
      <c r="B381" s="14"/>
      <c r="C381" s="15"/>
      <c r="D381" s="15"/>
      <c r="E381" s="91"/>
      <c r="F381" s="17"/>
      <c r="G381" s="17"/>
      <c r="H381" s="15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40"/>
      <c r="T381" s="17"/>
      <c r="U381" s="17"/>
      <c r="V381" s="15"/>
      <c r="W381" s="92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</row>
    <row r="382" spans="1:53" ht="14.25" x14ac:dyDescent="0.2">
      <c r="A382" s="13"/>
      <c r="B382" s="14"/>
      <c r="C382" s="15"/>
      <c r="D382" s="15"/>
      <c r="E382" s="91"/>
      <c r="F382" s="17"/>
      <c r="G382" s="17"/>
      <c r="H382" s="15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40"/>
      <c r="T382" s="17"/>
      <c r="U382" s="17"/>
      <c r="V382" s="15"/>
      <c r="W382" s="92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</row>
    <row r="383" spans="1:53" ht="14.25" x14ac:dyDescent="0.2">
      <c r="A383" s="13"/>
      <c r="B383" s="14"/>
      <c r="C383" s="15"/>
      <c r="D383" s="15"/>
      <c r="E383" s="91"/>
      <c r="F383" s="17"/>
      <c r="G383" s="17"/>
      <c r="H383" s="15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40"/>
      <c r="T383" s="17"/>
      <c r="U383" s="17"/>
      <c r="V383" s="15"/>
      <c r="W383" s="92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</row>
    <row r="384" spans="1:53" ht="14.25" x14ac:dyDescent="0.2">
      <c r="A384" s="13"/>
      <c r="B384" s="14"/>
      <c r="C384" s="15"/>
      <c r="D384" s="15"/>
      <c r="E384" s="91"/>
      <c r="F384" s="17"/>
      <c r="G384" s="17"/>
      <c r="H384" s="15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40"/>
      <c r="T384" s="17"/>
      <c r="U384" s="17"/>
      <c r="V384" s="15"/>
      <c r="W384" s="92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</row>
    <row r="385" spans="1:53" ht="14.25" x14ac:dyDescent="0.2">
      <c r="A385" s="13"/>
      <c r="B385" s="14"/>
      <c r="C385" s="15"/>
      <c r="D385" s="15"/>
      <c r="E385" s="91"/>
      <c r="F385" s="17"/>
      <c r="G385" s="17"/>
      <c r="H385" s="15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40"/>
      <c r="T385" s="17"/>
      <c r="U385" s="17"/>
      <c r="V385" s="15"/>
      <c r="W385" s="92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</row>
    <row r="386" spans="1:53" ht="14.25" x14ac:dyDescent="0.2">
      <c r="A386" s="13"/>
      <c r="B386" s="14"/>
      <c r="C386" s="15"/>
      <c r="D386" s="15"/>
      <c r="E386" s="91"/>
      <c r="F386" s="17"/>
      <c r="G386" s="17"/>
      <c r="H386" s="15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40"/>
      <c r="T386" s="17"/>
      <c r="U386" s="17"/>
      <c r="V386" s="15"/>
      <c r="W386" s="92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</row>
    <row r="387" spans="1:53" ht="14.25" x14ac:dyDescent="0.2">
      <c r="A387" s="13"/>
      <c r="B387" s="14"/>
      <c r="C387" s="15"/>
      <c r="D387" s="15"/>
      <c r="E387" s="91"/>
      <c r="F387" s="17"/>
      <c r="G387" s="17"/>
      <c r="H387" s="15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40"/>
      <c r="T387" s="17"/>
      <c r="U387" s="17"/>
      <c r="V387" s="15"/>
      <c r="W387" s="92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</row>
    <row r="388" spans="1:53" ht="14.25" x14ac:dyDescent="0.2">
      <c r="A388" s="13"/>
      <c r="B388" s="14"/>
      <c r="C388" s="15"/>
      <c r="D388" s="15"/>
      <c r="E388" s="91"/>
      <c r="F388" s="17"/>
      <c r="G388" s="17"/>
      <c r="H388" s="15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40"/>
      <c r="T388" s="17"/>
      <c r="U388" s="17"/>
      <c r="V388" s="15"/>
      <c r="W388" s="92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</row>
    <row r="389" spans="1:53" ht="14.25" x14ac:dyDescent="0.2">
      <c r="A389" s="13"/>
      <c r="B389" s="14"/>
      <c r="C389" s="15"/>
      <c r="D389" s="15"/>
      <c r="E389" s="91"/>
      <c r="F389" s="17"/>
      <c r="G389" s="17"/>
      <c r="H389" s="15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40"/>
      <c r="T389" s="17"/>
      <c r="U389" s="17"/>
      <c r="V389" s="15"/>
      <c r="W389" s="92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</row>
    <row r="390" spans="1:53" ht="14.25" x14ac:dyDescent="0.2">
      <c r="A390" s="13"/>
      <c r="B390" s="14"/>
      <c r="C390" s="15"/>
      <c r="D390" s="15"/>
      <c r="E390" s="91"/>
      <c r="F390" s="17"/>
      <c r="G390" s="17"/>
      <c r="H390" s="15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40"/>
      <c r="T390" s="17"/>
      <c r="U390" s="17"/>
      <c r="V390" s="15"/>
      <c r="W390" s="92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</row>
    <row r="391" spans="1:53" ht="14.25" x14ac:dyDescent="0.2">
      <c r="A391" s="13"/>
      <c r="B391" s="14"/>
      <c r="C391" s="15"/>
      <c r="D391" s="15"/>
      <c r="E391" s="91"/>
      <c r="F391" s="17"/>
      <c r="G391" s="17"/>
      <c r="H391" s="15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40"/>
      <c r="T391" s="17"/>
      <c r="U391" s="17"/>
      <c r="V391" s="15"/>
      <c r="W391" s="92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</row>
    <row r="392" spans="1:53" ht="14.25" x14ac:dyDescent="0.2">
      <c r="A392" s="13"/>
      <c r="B392" s="14"/>
      <c r="C392" s="15"/>
      <c r="D392" s="15"/>
      <c r="E392" s="91"/>
      <c r="F392" s="17"/>
      <c r="G392" s="17"/>
      <c r="H392" s="15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40"/>
      <c r="T392" s="17"/>
      <c r="U392" s="17"/>
      <c r="V392" s="15"/>
      <c r="W392" s="92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</row>
    <row r="393" spans="1:53" ht="14.25" x14ac:dyDescent="0.2">
      <c r="A393" s="13"/>
      <c r="B393" s="14"/>
      <c r="C393" s="15"/>
      <c r="D393" s="15"/>
      <c r="E393" s="91"/>
      <c r="F393" s="17"/>
      <c r="G393" s="17"/>
      <c r="H393" s="15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40"/>
      <c r="T393" s="17"/>
      <c r="U393" s="17"/>
      <c r="V393" s="15"/>
      <c r="W393" s="92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</row>
    <row r="394" spans="1:53" ht="14.25" x14ac:dyDescent="0.2">
      <c r="A394" s="13"/>
      <c r="B394" s="14"/>
      <c r="C394" s="15"/>
      <c r="D394" s="15"/>
      <c r="E394" s="91"/>
      <c r="F394" s="17"/>
      <c r="G394" s="17"/>
      <c r="H394" s="15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40"/>
      <c r="T394" s="17"/>
      <c r="U394" s="17"/>
      <c r="V394" s="15"/>
      <c r="W394" s="92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</row>
    <row r="395" spans="1:53" ht="14.25" x14ac:dyDescent="0.2">
      <c r="A395" s="13"/>
      <c r="B395" s="14"/>
      <c r="C395" s="15"/>
      <c r="D395" s="15"/>
      <c r="E395" s="91"/>
      <c r="F395" s="17"/>
      <c r="G395" s="17"/>
      <c r="H395" s="15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40"/>
      <c r="T395" s="17"/>
      <c r="U395" s="17"/>
      <c r="V395" s="15"/>
      <c r="W395" s="92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</row>
    <row r="396" spans="1:53" ht="14.25" x14ac:dyDescent="0.2">
      <c r="A396" s="13"/>
      <c r="B396" s="14"/>
      <c r="C396" s="15"/>
      <c r="D396" s="15"/>
      <c r="E396" s="91"/>
      <c r="F396" s="17"/>
      <c r="G396" s="17"/>
      <c r="H396" s="15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40"/>
      <c r="T396" s="17"/>
      <c r="U396" s="17"/>
      <c r="V396" s="15"/>
      <c r="W396" s="92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</row>
    <row r="397" spans="1:53" ht="14.25" x14ac:dyDescent="0.2">
      <c r="A397" s="13"/>
      <c r="B397" s="14"/>
      <c r="C397" s="15"/>
      <c r="D397" s="15"/>
      <c r="E397" s="91"/>
      <c r="F397" s="17"/>
      <c r="G397" s="17"/>
      <c r="H397" s="15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40"/>
      <c r="T397" s="17"/>
      <c r="U397" s="17"/>
      <c r="V397" s="15"/>
      <c r="W397" s="92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</row>
    <row r="398" spans="1:53" ht="14.25" x14ac:dyDescent="0.2">
      <c r="A398" s="13"/>
      <c r="B398" s="14"/>
      <c r="C398" s="15"/>
      <c r="D398" s="15"/>
      <c r="E398" s="91"/>
      <c r="F398" s="17"/>
      <c r="G398" s="17"/>
      <c r="H398" s="15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40"/>
      <c r="T398" s="17"/>
      <c r="U398" s="17"/>
      <c r="V398" s="15"/>
      <c r="W398" s="92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</row>
    <row r="399" spans="1:53" ht="14.25" x14ac:dyDescent="0.2">
      <c r="A399" s="13"/>
      <c r="B399" s="14"/>
      <c r="C399" s="15"/>
      <c r="D399" s="15"/>
      <c r="E399" s="91"/>
      <c r="F399" s="17"/>
      <c r="G399" s="17"/>
      <c r="H399" s="15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40"/>
      <c r="T399" s="17"/>
      <c r="U399" s="17"/>
      <c r="V399" s="15"/>
      <c r="W399" s="92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</row>
    <row r="400" spans="1:53" ht="14.25" x14ac:dyDescent="0.2">
      <c r="A400" s="13"/>
      <c r="B400" s="14"/>
      <c r="C400" s="15"/>
      <c r="D400" s="15"/>
      <c r="E400" s="91"/>
      <c r="F400" s="17"/>
      <c r="G400" s="17"/>
      <c r="H400" s="15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40"/>
      <c r="T400" s="17"/>
      <c r="U400" s="17"/>
      <c r="V400" s="15"/>
      <c r="W400" s="92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</row>
    <row r="401" spans="1:53" ht="14.25" x14ac:dyDescent="0.2">
      <c r="A401" s="13"/>
      <c r="B401" s="14"/>
      <c r="C401" s="15"/>
      <c r="D401" s="15"/>
      <c r="E401" s="91"/>
      <c r="F401" s="17"/>
      <c r="G401" s="17"/>
      <c r="H401" s="15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40"/>
      <c r="T401" s="17"/>
      <c r="U401" s="17"/>
      <c r="V401" s="15"/>
      <c r="W401" s="92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</row>
    <row r="402" spans="1:53" ht="14.25" x14ac:dyDescent="0.2">
      <c r="A402" s="13"/>
      <c r="B402" s="14"/>
      <c r="C402" s="15"/>
      <c r="D402" s="15"/>
      <c r="E402" s="91"/>
      <c r="F402" s="17"/>
      <c r="G402" s="17"/>
      <c r="H402" s="15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40"/>
      <c r="T402" s="17"/>
      <c r="U402" s="17"/>
      <c r="V402" s="15"/>
      <c r="W402" s="92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</row>
    <row r="403" spans="1:53" ht="14.25" x14ac:dyDescent="0.2">
      <c r="A403" s="13"/>
      <c r="B403" s="14"/>
      <c r="C403" s="15"/>
      <c r="D403" s="15"/>
      <c r="E403" s="91"/>
      <c r="F403" s="17"/>
      <c r="G403" s="17"/>
      <c r="H403" s="15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40"/>
      <c r="T403" s="17"/>
      <c r="U403" s="17"/>
      <c r="V403" s="15"/>
      <c r="W403" s="92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</row>
    <row r="404" spans="1:53" ht="14.25" x14ac:dyDescent="0.2">
      <c r="A404" s="13"/>
      <c r="B404" s="14"/>
      <c r="C404" s="15"/>
      <c r="D404" s="15"/>
      <c r="E404" s="91"/>
      <c r="F404" s="17"/>
      <c r="G404" s="17"/>
      <c r="H404" s="15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40"/>
      <c r="T404" s="17"/>
      <c r="U404" s="17"/>
      <c r="V404" s="15"/>
      <c r="W404" s="92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</row>
    <row r="405" spans="1:53" ht="14.25" x14ac:dyDescent="0.2">
      <c r="A405" s="13"/>
      <c r="B405" s="14"/>
      <c r="C405" s="15"/>
      <c r="D405" s="15"/>
      <c r="E405" s="91"/>
      <c r="F405" s="17"/>
      <c r="G405" s="17"/>
      <c r="H405" s="15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40"/>
      <c r="T405" s="17"/>
      <c r="U405" s="17"/>
      <c r="V405" s="15"/>
      <c r="W405" s="92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</row>
    <row r="406" spans="1:53" ht="14.25" x14ac:dyDescent="0.2">
      <c r="A406" s="13"/>
      <c r="B406" s="14"/>
      <c r="C406" s="15"/>
      <c r="D406" s="15"/>
      <c r="E406" s="91"/>
      <c r="F406" s="17"/>
      <c r="G406" s="17"/>
      <c r="H406" s="15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40"/>
      <c r="T406" s="17"/>
      <c r="U406" s="17"/>
      <c r="V406" s="15"/>
      <c r="W406" s="92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</row>
    <row r="407" spans="1:53" ht="14.25" x14ac:dyDescent="0.2">
      <c r="A407" s="13"/>
      <c r="B407" s="14"/>
      <c r="C407" s="15"/>
      <c r="D407" s="15"/>
      <c r="E407" s="91"/>
      <c r="F407" s="17"/>
      <c r="G407" s="17"/>
      <c r="H407" s="15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40"/>
      <c r="T407" s="17"/>
      <c r="U407" s="17"/>
      <c r="V407" s="15"/>
      <c r="W407" s="92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</row>
    <row r="408" spans="1:53" ht="14.25" x14ac:dyDescent="0.2">
      <c r="A408" s="13"/>
      <c r="B408" s="14"/>
      <c r="C408" s="15"/>
      <c r="D408" s="15"/>
      <c r="E408" s="91"/>
      <c r="F408" s="17"/>
      <c r="G408" s="17"/>
      <c r="H408" s="15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40"/>
      <c r="T408" s="17"/>
      <c r="U408" s="17"/>
      <c r="V408" s="15"/>
      <c r="W408" s="92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</row>
    <row r="409" spans="1:53" ht="14.25" x14ac:dyDescent="0.2">
      <c r="A409" s="13"/>
      <c r="B409" s="14"/>
      <c r="C409" s="15"/>
      <c r="D409" s="15"/>
      <c r="E409" s="91"/>
      <c r="F409" s="17"/>
      <c r="G409" s="17"/>
      <c r="H409" s="15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40"/>
      <c r="T409" s="17"/>
      <c r="U409" s="17"/>
      <c r="V409" s="15"/>
      <c r="W409" s="92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</row>
    <row r="410" spans="1:53" ht="14.25" x14ac:dyDescent="0.2">
      <c r="A410" s="13"/>
      <c r="B410" s="14"/>
      <c r="C410" s="15"/>
      <c r="D410" s="15"/>
      <c r="E410" s="91"/>
      <c r="F410" s="17"/>
      <c r="G410" s="17"/>
      <c r="H410" s="15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40"/>
      <c r="T410" s="17"/>
      <c r="U410" s="17"/>
      <c r="V410" s="15"/>
      <c r="W410" s="92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</row>
    <row r="411" spans="1:53" ht="14.25" x14ac:dyDescent="0.2">
      <c r="A411" s="13"/>
      <c r="B411" s="14"/>
      <c r="C411" s="15"/>
      <c r="D411" s="15"/>
      <c r="E411" s="91"/>
      <c r="F411" s="17"/>
      <c r="G411" s="17"/>
      <c r="H411" s="15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40"/>
      <c r="T411" s="17"/>
      <c r="U411" s="17"/>
      <c r="V411" s="15"/>
      <c r="W411" s="92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</row>
    <row r="412" spans="1:53" ht="14.25" x14ac:dyDescent="0.2">
      <c r="A412" s="13"/>
      <c r="B412" s="14"/>
      <c r="C412" s="15"/>
      <c r="D412" s="15"/>
      <c r="E412" s="91"/>
      <c r="F412" s="17"/>
      <c r="G412" s="17"/>
      <c r="H412" s="15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40"/>
      <c r="T412" s="17"/>
      <c r="U412" s="17"/>
      <c r="V412" s="15"/>
      <c r="W412" s="92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</row>
    <row r="413" spans="1:53" ht="14.25" x14ac:dyDescent="0.2">
      <c r="A413" s="13"/>
      <c r="B413" s="14"/>
      <c r="C413" s="15"/>
      <c r="D413" s="15"/>
      <c r="E413" s="91"/>
      <c r="F413" s="17"/>
      <c r="G413" s="17"/>
      <c r="H413" s="15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40"/>
      <c r="T413" s="17"/>
      <c r="U413" s="17"/>
      <c r="V413" s="15"/>
      <c r="W413" s="92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</row>
    <row r="414" spans="1:53" ht="14.25" x14ac:dyDescent="0.2">
      <c r="A414" s="13"/>
      <c r="B414" s="14"/>
      <c r="C414" s="15"/>
      <c r="D414" s="15"/>
      <c r="E414" s="91"/>
      <c r="F414" s="17"/>
      <c r="G414" s="17"/>
      <c r="H414" s="15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40"/>
      <c r="T414" s="17"/>
      <c r="U414" s="17"/>
      <c r="V414" s="15"/>
      <c r="W414" s="92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</row>
    <row r="415" spans="1:53" ht="14.25" x14ac:dyDescent="0.2">
      <c r="A415" s="13"/>
      <c r="B415" s="14"/>
      <c r="C415" s="15"/>
      <c r="D415" s="15"/>
      <c r="E415" s="91"/>
      <c r="F415" s="17"/>
      <c r="G415" s="17"/>
      <c r="H415" s="15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40"/>
      <c r="T415" s="17"/>
      <c r="U415" s="17"/>
      <c r="V415" s="15"/>
      <c r="W415" s="92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</row>
    <row r="416" spans="1:53" ht="14.25" x14ac:dyDescent="0.2">
      <c r="A416" s="13"/>
      <c r="B416" s="14"/>
      <c r="C416" s="15"/>
      <c r="D416" s="15"/>
      <c r="E416" s="91"/>
      <c r="F416" s="17"/>
      <c r="G416" s="17"/>
      <c r="H416" s="15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40"/>
      <c r="T416" s="17"/>
      <c r="U416" s="17"/>
      <c r="V416" s="15"/>
      <c r="W416" s="92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</row>
    <row r="417" spans="1:53" ht="14.25" x14ac:dyDescent="0.2">
      <c r="A417" s="13"/>
      <c r="B417" s="14"/>
      <c r="C417" s="15"/>
      <c r="D417" s="15"/>
      <c r="E417" s="91"/>
      <c r="F417" s="17"/>
      <c r="G417" s="17"/>
      <c r="H417" s="15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40"/>
      <c r="T417" s="17"/>
      <c r="U417" s="17"/>
      <c r="V417" s="15"/>
      <c r="W417" s="92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</row>
    <row r="418" spans="1:53" ht="14.25" x14ac:dyDescent="0.2">
      <c r="A418" s="13"/>
      <c r="B418" s="14"/>
      <c r="C418" s="15"/>
      <c r="D418" s="15"/>
      <c r="E418" s="91"/>
      <c r="F418" s="17"/>
      <c r="G418" s="17"/>
      <c r="H418" s="15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40"/>
      <c r="T418" s="17"/>
      <c r="U418" s="17"/>
      <c r="V418" s="15"/>
      <c r="W418" s="92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</row>
    <row r="419" spans="1:53" ht="14.25" x14ac:dyDescent="0.2">
      <c r="A419" s="13"/>
      <c r="B419" s="14"/>
      <c r="C419" s="15"/>
      <c r="D419" s="15"/>
      <c r="E419" s="91"/>
      <c r="F419" s="17"/>
      <c r="G419" s="17"/>
      <c r="H419" s="15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40"/>
      <c r="T419" s="17"/>
      <c r="U419" s="17"/>
      <c r="V419" s="15"/>
      <c r="W419" s="92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</row>
    <row r="420" spans="1:53" ht="14.25" x14ac:dyDescent="0.2">
      <c r="A420" s="13"/>
      <c r="B420" s="14"/>
      <c r="C420" s="15"/>
      <c r="D420" s="15"/>
      <c r="E420" s="91"/>
      <c r="F420" s="17"/>
      <c r="G420" s="17"/>
      <c r="H420" s="15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40"/>
      <c r="T420" s="17"/>
      <c r="U420" s="17"/>
      <c r="V420" s="15"/>
      <c r="W420" s="92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</row>
    <row r="421" spans="1:53" ht="14.25" x14ac:dyDescent="0.2">
      <c r="A421" s="13"/>
      <c r="B421" s="14"/>
      <c r="C421" s="15"/>
      <c r="D421" s="15"/>
      <c r="E421" s="91"/>
      <c r="F421" s="17"/>
      <c r="G421" s="17"/>
      <c r="H421" s="15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40"/>
      <c r="T421" s="17"/>
      <c r="U421" s="17"/>
      <c r="V421" s="15"/>
      <c r="W421" s="92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</row>
    <row r="422" spans="1:53" ht="14.25" x14ac:dyDescent="0.2">
      <c r="A422" s="13"/>
      <c r="B422" s="14"/>
      <c r="C422" s="15"/>
      <c r="D422" s="15"/>
      <c r="E422" s="91"/>
      <c r="F422" s="17"/>
      <c r="G422" s="17"/>
      <c r="H422" s="15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40"/>
      <c r="T422" s="17"/>
      <c r="U422" s="17"/>
      <c r="V422" s="15"/>
      <c r="W422" s="92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</row>
    <row r="423" spans="1:53" ht="14.25" x14ac:dyDescent="0.2">
      <c r="A423" s="13"/>
      <c r="B423" s="14"/>
      <c r="C423" s="15"/>
      <c r="D423" s="15"/>
      <c r="E423" s="91"/>
      <c r="F423" s="17"/>
      <c r="G423" s="17"/>
      <c r="H423" s="15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40"/>
      <c r="T423" s="17"/>
      <c r="U423" s="17"/>
      <c r="V423" s="15"/>
      <c r="W423" s="92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</row>
    <row r="424" spans="1:53" ht="14.25" x14ac:dyDescent="0.2">
      <c r="A424" s="13"/>
      <c r="B424" s="14"/>
      <c r="C424" s="15"/>
      <c r="D424" s="15"/>
      <c r="E424" s="91"/>
      <c r="F424" s="17"/>
      <c r="G424" s="17"/>
      <c r="H424" s="15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40"/>
      <c r="T424" s="17"/>
      <c r="U424" s="17"/>
      <c r="V424" s="15"/>
      <c r="W424" s="92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</row>
    <row r="425" spans="1:53" ht="14.25" x14ac:dyDescent="0.2">
      <c r="A425" s="13"/>
      <c r="B425" s="14"/>
      <c r="C425" s="15"/>
      <c r="D425" s="15"/>
      <c r="E425" s="91"/>
      <c r="F425" s="17"/>
      <c r="G425" s="17"/>
      <c r="H425" s="15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40"/>
      <c r="T425" s="17"/>
      <c r="U425" s="17"/>
      <c r="V425" s="15"/>
      <c r="W425" s="92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</row>
    <row r="426" spans="1:53" ht="14.25" x14ac:dyDescent="0.2">
      <c r="A426" s="13"/>
      <c r="B426" s="14"/>
      <c r="C426" s="15"/>
      <c r="D426" s="15"/>
      <c r="E426" s="91"/>
      <c r="F426" s="17"/>
      <c r="G426" s="17"/>
      <c r="H426" s="15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40"/>
      <c r="T426" s="17"/>
      <c r="U426" s="17"/>
      <c r="V426" s="15"/>
      <c r="W426" s="92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</row>
    <row r="427" spans="1:53" ht="14.25" x14ac:dyDescent="0.2">
      <c r="A427" s="13"/>
      <c r="B427" s="14"/>
      <c r="C427" s="15"/>
      <c r="D427" s="15"/>
      <c r="E427" s="91"/>
      <c r="F427" s="17"/>
      <c r="G427" s="17"/>
      <c r="H427" s="15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40"/>
      <c r="T427" s="17"/>
      <c r="U427" s="17"/>
      <c r="V427" s="15"/>
      <c r="W427" s="92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</row>
    <row r="428" spans="1:53" ht="14.25" x14ac:dyDescent="0.2">
      <c r="A428" s="13"/>
      <c r="B428" s="14"/>
      <c r="C428" s="15"/>
      <c r="D428" s="15"/>
      <c r="E428" s="91"/>
      <c r="F428" s="17"/>
      <c r="G428" s="17"/>
      <c r="H428" s="15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40"/>
      <c r="T428" s="17"/>
      <c r="U428" s="17"/>
      <c r="V428" s="15"/>
      <c r="W428" s="92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</row>
    <row r="429" spans="1:53" ht="14.25" x14ac:dyDescent="0.2">
      <c r="A429" s="13"/>
      <c r="B429" s="14"/>
      <c r="C429" s="15"/>
      <c r="D429" s="15"/>
      <c r="E429" s="91"/>
      <c r="F429" s="17"/>
      <c r="G429" s="17"/>
      <c r="H429" s="15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40"/>
      <c r="T429" s="17"/>
      <c r="U429" s="17"/>
      <c r="V429" s="15"/>
      <c r="W429" s="92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</row>
    <row r="430" spans="1:53" ht="14.25" x14ac:dyDescent="0.2">
      <c r="A430" s="13"/>
      <c r="B430" s="14"/>
      <c r="C430" s="15"/>
      <c r="D430" s="15"/>
      <c r="E430" s="91"/>
      <c r="F430" s="17"/>
      <c r="G430" s="17"/>
      <c r="H430" s="15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40"/>
      <c r="T430" s="17"/>
      <c r="U430" s="17"/>
      <c r="V430" s="15"/>
      <c r="W430" s="92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</row>
    <row r="431" spans="1:53" ht="14.25" x14ac:dyDescent="0.2">
      <c r="A431" s="13"/>
      <c r="B431" s="14"/>
      <c r="C431" s="15"/>
      <c r="D431" s="15"/>
      <c r="E431" s="91"/>
      <c r="F431" s="17"/>
      <c r="G431" s="17"/>
      <c r="H431" s="15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40"/>
      <c r="T431" s="17"/>
      <c r="U431" s="17"/>
      <c r="V431" s="15"/>
      <c r="W431" s="92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</row>
    <row r="432" spans="1:53" ht="14.25" x14ac:dyDescent="0.2">
      <c r="A432" s="13"/>
      <c r="B432" s="14"/>
      <c r="C432" s="15"/>
      <c r="D432" s="15"/>
      <c r="E432" s="91"/>
      <c r="F432" s="17"/>
      <c r="G432" s="17"/>
      <c r="H432" s="15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40"/>
      <c r="T432" s="17"/>
      <c r="U432" s="17"/>
      <c r="V432" s="15"/>
      <c r="W432" s="92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</row>
    <row r="433" spans="1:53" ht="14.25" x14ac:dyDescent="0.2">
      <c r="A433" s="13"/>
      <c r="B433" s="14"/>
      <c r="C433" s="15"/>
      <c r="D433" s="15"/>
      <c r="E433" s="91"/>
      <c r="F433" s="17"/>
      <c r="G433" s="17"/>
      <c r="H433" s="15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40"/>
      <c r="T433" s="17"/>
      <c r="U433" s="17"/>
      <c r="V433" s="15"/>
      <c r="W433" s="92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</row>
    <row r="434" spans="1:53" ht="14.25" x14ac:dyDescent="0.2">
      <c r="A434" s="13"/>
      <c r="B434" s="14"/>
      <c r="C434" s="15"/>
      <c r="D434" s="15"/>
      <c r="E434" s="91"/>
      <c r="F434" s="17"/>
      <c r="G434" s="17"/>
      <c r="H434" s="15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40"/>
      <c r="T434" s="17"/>
      <c r="U434" s="17"/>
      <c r="V434" s="15"/>
      <c r="W434" s="92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</row>
    <row r="435" spans="1:53" ht="14.25" x14ac:dyDescent="0.2">
      <c r="A435" s="13"/>
      <c r="B435" s="14"/>
      <c r="C435" s="15"/>
      <c r="D435" s="15"/>
      <c r="E435" s="91"/>
      <c r="F435" s="17"/>
      <c r="G435" s="17"/>
      <c r="H435" s="15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40"/>
      <c r="T435" s="17"/>
      <c r="U435" s="17"/>
      <c r="V435" s="15"/>
      <c r="W435" s="92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</row>
    <row r="436" spans="1:53" ht="14.25" x14ac:dyDescent="0.2">
      <c r="A436" s="13"/>
      <c r="B436" s="14"/>
      <c r="C436" s="15"/>
      <c r="D436" s="15"/>
      <c r="E436" s="91"/>
      <c r="F436" s="17"/>
      <c r="G436" s="17"/>
      <c r="H436" s="15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40"/>
      <c r="T436" s="17"/>
      <c r="U436" s="17"/>
      <c r="V436" s="15"/>
      <c r="W436" s="92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</row>
    <row r="437" spans="1:53" ht="14.25" x14ac:dyDescent="0.2">
      <c r="A437" s="13"/>
      <c r="B437" s="14"/>
      <c r="C437" s="15"/>
      <c r="D437" s="15"/>
      <c r="E437" s="91"/>
      <c r="F437" s="17"/>
      <c r="G437" s="17"/>
      <c r="H437" s="15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40"/>
      <c r="T437" s="17"/>
      <c r="U437" s="17"/>
      <c r="V437" s="15"/>
      <c r="W437" s="92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</row>
    <row r="438" spans="1:53" ht="14.25" x14ac:dyDescent="0.2">
      <c r="A438" s="13"/>
      <c r="B438" s="14"/>
      <c r="C438" s="15"/>
      <c r="D438" s="15"/>
      <c r="E438" s="91"/>
      <c r="F438" s="17"/>
      <c r="G438" s="17"/>
      <c r="H438" s="15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40"/>
      <c r="T438" s="17"/>
      <c r="U438" s="17"/>
      <c r="V438" s="15"/>
      <c r="W438" s="92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</row>
    <row r="439" spans="1:53" ht="14.25" x14ac:dyDescent="0.2">
      <c r="A439" s="13"/>
      <c r="B439" s="14"/>
      <c r="C439" s="15"/>
      <c r="D439" s="15"/>
      <c r="E439" s="91"/>
      <c r="F439" s="17"/>
      <c r="G439" s="17"/>
      <c r="H439" s="15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40"/>
      <c r="T439" s="17"/>
      <c r="U439" s="17"/>
      <c r="V439" s="15"/>
      <c r="W439" s="92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</row>
    <row r="440" spans="1:53" ht="14.25" x14ac:dyDescent="0.2">
      <c r="A440" s="13"/>
      <c r="B440" s="14"/>
      <c r="C440" s="15"/>
      <c r="D440" s="15"/>
      <c r="E440" s="91"/>
      <c r="F440" s="17"/>
      <c r="G440" s="17"/>
      <c r="H440" s="15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40"/>
      <c r="T440" s="17"/>
      <c r="U440" s="17"/>
      <c r="V440" s="15"/>
      <c r="W440" s="92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</row>
    <row r="441" spans="1:53" ht="14.25" x14ac:dyDescent="0.2">
      <c r="A441" s="13"/>
      <c r="B441" s="14"/>
      <c r="C441" s="15"/>
      <c r="D441" s="15"/>
      <c r="E441" s="91"/>
      <c r="F441" s="17"/>
      <c r="G441" s="17"/>
      <c r="H441" s="15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40"/>
      <c r="T441" s="17"/>
      <c r="U441" s="17"/>
      <c r="V441" s="15"/>
      <c r="W441" s="92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</row>
    <row r="442" spans="1:53" ht="14.25" x14ac:dyDescent="0.2">
      <c r="A442" s="13"/>
      <c r="B442" s="14"/>
      <c r="C442" s="15"/>
      <c r="D442" s="15"/>
      <c r="E442" s="91"/>
      <c r="F442" s="17"/>
      <c r="G442" s="17"/>
      <c r="H442" s="15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40"/>
      <c r="T442" s="17"/>
      <c r="U442" s="17"/>
      <c r="V442" s="15"/>
      <c r="W442" s="92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</row>
    <row r="443" spans="1:53" ht="14.25" x14ac:dyDescent="0.2">
      <c r="A443" s="13"/>
      <c r="B443" s="14"/>
      <c r="C443" s="15"/>
      <c r="D443" s="15"/>
      <c r="E443" s="91"/>
      <c r="F443" s="17"/>
      <c r="G443" s="17"/>
      <c r="H443" s="15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40"/>
      <c r="T443" s="17"/>
      <c r="U443" s="17"/>
      <c r="V443" s="15"/>
      <c r="W443" s="92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</row>
    <row r="444" spans="1:53" ht="14.25" x14ac:dyDescent="0.2">
      <c r="A444" s="13"/>
      <c r="B444" s="14"/>
      <c r="C444" s="15"/>
      <c r="D444" s="15"/>
      <c r="E444" s="91"/>
      <c r="F444" s="17"/>
      <c r="G444" s="17"/>
      <c r="H444" s="15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40"/>
      <c r="T444" s="17"/>
      <c r="U444" s="17"/>
      <c r="V444" s="15"/>
      <c r="W444" s="92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</row>
    <row r="445" spans="1:53" ht="14.25" x14ac:dyDescent="0.2">
      <c r="A445" s="13"/>
      <c r="B445" s="14"/>
      <c r="C445" s="15"/>
      <c r="D445" s="15"/>
      <c r="E445" s="91"/>
      <c r="F445" s="17"/>
      <c r="G445" s="17"/>
      <c r="H445" s="15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40"/>
      <c r="T445" s="17"/>
      <c r="U445" s="17"/>
      <c r="V445" s="15"/>
      <c r="W445" s="92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</row>
    <row r="446" spans="1:53" ht="14.25" x14ac:dyDescent="0.2">
      <c r="A446" s="13"/>
      <c r="B446" s="14"/>
      <c r="C446" s="15"/>
      <c r="D446" s="15"/>
      <c r="E446" s="91"/>
      <c r="F446" s="17"/>
      <c r="G446" s="17"/>
      <c r="H446" s="15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40"/>
      <c r="T446" s="17"/>
      <c r="U446" s="17"/>
      <c r="V446" s="15"/>
      <c r="W446" s="92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</row>
    <row r="447" spans="1:53" ht="14.25" x14ac:dyDescent="0.2">
      <c r="A447" s="13"/>
      <c r="B447" s="14"/>
      <c r="C447" s="15"/>
      <c r="D447" s="15"/>
      <c r="E447" s="91"/>
      <c r="F447" s="17"/>
      <c r="G447" s="17"/>
      <c r="H447" s="15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40"/>
      <c r="T447" s="17"/>
      <c r="U447" s="17"/>
      <c r="V447" s="15"/>
      <c r="W447" s="92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</row>
    <row r="448" spans="1:53" ht="14.25" x14ac:dyDescent="0.2">
      <c r="A448" s="13"/>
      <c r="B448" s="14"/>
      <c r="C448" s="15"/>
      <c r="D448" s="15"/>
      <c r="E448" s="91"/>
      <c r="F448" s="17"/>
      <c r="G448" s="17"/>
      <c r="H448" s="15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40"/>
      <c r="T448" s="17"/>
      <c r="U448" s="17"/>
      <c r="V448" s="15"/>
      <c r="W448" s="92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</row>
    <row r="449" spans="1:53" ht="14.25" x14ac:dyDescent="0.2">
      <c r="A449" s="13"/>
      <c r="B449" s="14"/>
      <c r="C449" s="15"/>
      <c r="D449" s="15"/>
      <c r="E449" s="91"/>
      <c r="F449" s="17"/>
      <c r="G449" s="17"/>
      <c r="H449" s="15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40"/>
      <c r="T449" s="17"/>
      <c r="U449" s="17"/>
      <c r="V449" s="15"/>
      <c r="W449" s="92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</row>
    <row r="450" spans="1:53" ht="14.25" x14ac:dyDescent="0.2">
      <c r="A450" s="13"/>
      <c r="B450" s="14"/>
      <c r="C450" s="15"/>
      <c r="D450" s="15"/>
      <c r="E450" s="91"/>
      <c r="F450" s="17"/>
      <c r="G450" s="17"/>
      <c r="H450" s="15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40"/>
      <c r="T450" s="17"/>
      <c r="U450" s="17"/>
      <c r="V450" s="15"/>
      <c r="W450" s="92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</row>
    <row r="451" spans="1:53" ht="14.25" x14ac:dyDescent="0.2">
      <c r="A451" s="13"/>
      <c r="B451" s="14"/>
      <c r="C451" s="15"/>
      <c r="D451" s="15"/>
      <c r="E451" s="91"/>
      <c r="F451" s="17"/>
      <c r="G451" s="17"/>
      <c r="H451" s="15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40"/>
      <c r="T451" s="17"/>
      <c r="U451" s="17"/>
      <c r="V451" s="15"/>
      <c r="W451" s="92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</row>
    <row r="452" spans="1:53" ht="14.25" x14ac:dyDescent="0.2">
      <c r="A452" s="13"/>
      <c r="B452" s="14"/>
      <c r="C452" s="15"/>
      <c r="D452" s="15"/>
      <c r="E452" s="91"/>
      <c r="F452" s="17"/>
      <c r="G452" s="17"/>
      <c r="H452" s="15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40"/>
      <c r="T452" s="17"/>
      <c r="U452" s="17"/>
      <c r="V452" s="15"/>
      <c r="W452" s="92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</row>
    <row r="453" spans="1:53" ht="14.25" x14ac:dyDescent="0.2">
      <c r="A453" s="13"/>
      <c r="B453" s="14"/>
      <c r="C453" s="15"/>
      <c r="D453" s="15"/>
      <c r="E453" s="91"/>
      <c r="F453" s="17"/>
      <c r="G453" s="17"/>
      <c r="H453" s="15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40"/>
      <c r="T453" s="17"/>
      <c r="U453" s="17"/>
      <c r="V453" s="15"/>
      <c r="W453" s="92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</row>
    <row r="454" spans="1:53" ht="14.25" x14ac:dyDescent="0.2">
      <c r="A454" s="13"/>
      <c r="B454" s="14"/>
      <c r="C454" s="15"/>
      <c r="D454" s="15"/>
      <c r="E454" s="91"/>
      <c r="F454" s="17"/>
      <c r="G454" s="17"/>
      <c r="H454" s="15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40"/>
      <c r="T454" s="17"/>
      <c r="U454" s="17"/>
      <c r="V454" s="15"/>
      <c r="W454" s="92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</row>
    <row r="455" spans="1:53" ht="14.25" x14ac:dyDescent="0.2">
      <c r="A455" s="13"/>
      <c r="B455" s="14"/>
      <c r="C455" s="15"/>
      <c r="D455" s="15"/>
      <c r="E455" s="91"/>
      <c r="F455" s="17"/>
      <c r="G455" s="17"/>
      <c r="H455" s="15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40"/>
      <c r="T455" s="17"/>
      <c r="U455" s="17"/>
      <c r="V455" s="15"/>
      <c r="W455" s="92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</row>
    <row r="456" spans="1:53" ht="14.25" x14ac:dyDescent="0.2">
      <c r="A456" s="13"/>
      <c r="B456" s="14"/>
      <c r="C456" s="15"/>
      <c r="D456" s="15"/>
      <c r="E456" s="91"/>
      <c r="F456" s="17"/>
      <c r="G456" s="17"/>
      <c r="H456" s="15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40"/>
      <c r="T456" s="17"/>
      <c r="U456" s="17"/>
      <c r="V456" s="15"/>
      <c r="W456" s="92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</row>
    <row r="457" spans="1:53" ht="14.25" x14ac:dyDescent="0.2">
      <c r="A457" s="13"/>
      <c r="B457" s="14"/>
      <c r="C457" s="15"/>
      <c r="D457" s="15"/>
      <c r="E457" s="91"/>
      <c r="F457" s="17"/>
      <c r="G457" s="17"/>
      <c r="H457" s="15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40"/>
      <c r="T457" s="17"/>
      <c r="U457" s="17"/>
      <c r="V457" s="15"/>
      <c r="W457" s="92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</row>
    <row r="458" spans="1:53" ht="14.25" x14ac:dyDescent="0.2">
      <c r="A458" s="13"/>
      <c r="B458" s="14"/>
      <c r="C458" s="15"/>
      <c r="D458" s="15"/>
      <c r="E458" s="91"/>
      <c r="F458" s="17"/>
      <c r="G458" s="17"/>
      <c r="H458" s="15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40"/>
      <c r="T458" s="17"/>
      <c r="U458" s="17"/>
      <c r="V458" s="15"/>
      <c r="W458" s="92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</row>
    <row r="459" spans="1:53" ht="14.25" x14ac:dyDescent="0.2">
      <c r="A459" s="13"/>
      <c r="B459" s="14"/>
      <c r="C459" s="15"/>
      <c r="D459" s="15"/>
      <c r="E459" s="91"/>
      <c r="F459" s="17"/>
      <c r="G459" s="17"/>
      <c r="H459" s="15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40"/>
      <c r="T459" s="17"/>
      <c r="U459" s="17"/>
      <c r="V459" s="15"/>
      <c r="W459" s="92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</row>
    <row r="460" spans="1:53" ht="14.25" x14ac:dyDescent="0.2">
      <c r="A460" s="13"/>
      <c r="B460" s="14"/>
      <c r="C460" s="15"/>
      <c r="D460" s="15"/>
      <c r="E460" s="91"/>
      <c r="F460" s="17"/>
      <c r="G460" s="17"/>
      <c r="H460" s="15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40"/>
      <c r="T460" s="17"/>
      <c r="U460" s="17"/>
      <c r="V460" s="15"/>
      <c r="W460" s="92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</row>
    <row r="461" spans="1:53" ht="14.25" x14ac:dyDescent="0.2">
      <c r="A461" s="13"/>
      <c r="B461" s="14"/>
      <c r="C461" s="15"/>
      <c r="D461" s="15"/>
      <c r="E461" s="91"/>
      <c r="F461" s="17"/>
      <c r="G461" s="17"/>
      <c r="H461" s="15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40"/>
      <c r="T461" s="17"/>
      <c r="U461" s="17"/>
      <c r="V461" s="15"/>
      <c r="W461" s="92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</row>
    <row r="462" spans="1:53" ht="14.25" x14ac:dyDescent="0.2">
      <c r="A462" s="13"/>
      <c r="B462" s="14"/>
      <c r="C462" s="15"/>
      <c r="D462" s="15"/>
      <c r="E462" s="91"/>
      <c r="F462" s="17"/>
      <c r="G462" s="17"/>
      <c r="H462" s="15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40"/>
      <c r="T462" s="17"/>
      <c r="U462" s="17"/>
      <c r="V462" s="15"/>
      <c r="W462" s="92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</row>
    <row r="463" spans="1:53" ht="14.25" x14ac:dyDescent="0.2">
      <c r="A463" s="13"/>
      <c r="B463" s="14"/>
      <c r="C463" s="15"/>
      <c r="D463" s="15"/>
      <c r="E463" s="91"/>
      <c r="F463" s="17"/>
      <c r="G463" s="17"/>
      <c r="H463" s="15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40"/>
      <c r="T463" s="17"/>
      <c r="U463" s="17"/>
      <c r="V463" s="15"/>
      <c r="W463" s="92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</row>
    <row r="464" spans="1:53" ht="14.25" x14ac:dyDescent="0.2">
      <c r="A464" s="13"/>
      <c r="B464" s="14"/>
      <c r="C464" s="15"/>
      <c r="D464" s="15"/>
      <c r="E464" s="91"/>
      <c r="F464" s="17"/>
      <c r="G464" s="17"/>
      <c r="H464" s="15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40"/>
      <c r="T464" s="17"/>
      <c r="U464" s="17"/>
      <c r="V464" s="15"/>
      <c r="W464" s="92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</row>
    <row r="465" spans="1:53" ht="14.25" x14ac:dyDescent="0.2">
      <c r="A465" s="13"/>
      <c r="B465" s="14"/>
      <c r="C465" s="15"/>
      <c r="D465" s="15"/>
      <c r="E465" s="91"/>
      <c r="F465" s="17"/>
      <c r="G465" s="17"/>
      <c r="H465" s="15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40"/>
      <c r="T465" s="17"/>
      <c r="U465" s="17"/>
      <c r="V465" s="15"/>
      <c r="W465" s="92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</row>
    <row r="466" spans="1:53" ht="14.25" x14ac:dyDescent="0.2">
      <c r="A466" s="13"/>
      <c r="B466" s="14"/>
      <c r="C466" s="15"/>
      <c r="D466" s="15"/>
      <c r="E466" s="91"/>
      <c r="F466" s="17"/>
      <c r="G466" s="17"/>
      <c r="H466" s="15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40"/>
      <c r="T466" s="17"/>
      <c r="U466" s="17"/>
      <c r="V466" s="15"/>
      <c r="W466" s="92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</row>
    <row r="467" spans="1:53" ht="14.25" x14ac:dyDescent="0.2">
      <c r="A467" s="13"/>
      <c r="B467" s="14"/>
      <c r="C467" s="15"/>
      <c r="D467" s="15"/>
      <c r="E467" s="91"/>
      <c r="F467" s="17"/>
      <c r="G467" s="17"/>
      <c r="H467" s="15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40"/>
      <c r="T467" s="17"/>
      <c r="U467" s="17"/>
      <c r="V467" s="15"/>
      <c r="W467" s="92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</row>
    <row r="468" spans="1:53" ht="14.25" x14ac:dyDescent="0.2">
      <c r="A468" s="13"/>
      <c r="B468" s="14"/>
      <c r="C468" s="15"/>
      <c r="D468" s="15"/>
      <c r="E468" s="91"/>
      <c r="F468" s="17"/>
      <c r="G468" s="17"/>
      <c r="H468" s="15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40"/>
      <c r="T468" s="17"/>
      <c r="U468" s="17"/>
      <c r="V468" s="15"/>
      <c r="W468" s="92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</row>
    <row r="469" spans="1:53" ht="14.25" x14ac:dyDescent="0.2">
      <c r="A469" s="13"/>
      <c r="B469" s="14"/>
      <c r="C469" s="15"/>
      <c r="D469" s="15"/>
      <c r="E469" s="91"/>
      <c r="F469" s="17"/>
      <c r="G469" s="17"/>
      <c r="H469" s="15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40"/>
      <c r="T469" s="17"/>
      <c r="U469" s="17"/>
      <c r="V469" s="15"/>
      <c r="W469" s="92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</row>
    <row r="470" spans="1:53" ht="14.25" x14ac:dyDescent="0.2">
      <c r="A470" s="13"/>
      <c r="B470" s="14"/>
      <c r="C470" s="15"/>
      <c r="D470" s="15"/>
      <c r="E470" s="91"/>
      <c r="F470" s="17"/>
      <c r="G470" s="17"/>
      <c r="H470" s="15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40"/>
      <c r="T470" s="17"/>
      <c r="U470" s="17"/>
      <c r="V470" s="15"/>
      <c r="W470" s="92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</row>
    <row r="471" spans="1:53" ht="14.25" x14ac:dyDescent="0.2">
      <c r="A471" s="13"/>
      <c r="B471" s="14"/>
      <c r="C471" s="15"/>
      <c r="D471" s="15"/>
      <c r="E471" s="91"/>
      <c r="F471" s="17"/>
      <c r="G471" s="17"/>
      <c r="H471" s="15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40"/>
      <c r="T471" s="17"/>
      <c r="U471" s="17"/>
      <c r="V471" s="15"/>
      <c r="W471" s="92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</row>
    <row r="472" spans="1:53" ht="14.25" x14ac:dyDescent="0.2">
      <c r="A472" s="13"/>
      <c r="B472" s="14"/>
      <c r="C472" s="15"/>
      <c r="D472" s="15"/>
      <c r="E472" s="91"/>
      <c r="F472" s="17"/>
      <c r="G472" s="17"/>
      <c r="H472" s="15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40"/>
      <c r="T472" s="17"/>
      <c r="U472" s="17"/>
      <c r="V472" s="15"/>
      <c r="W472" s="92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</row>
    <row r="473" spans="1:53" ht="14.25" x14ac:dyDescent="0.2">
      <c r="A473" s="13"/>
      <c r="B473" s="14"/>
      <c r="C473" s="15"/>
      <c r="D473" s="15"/>
      <c r="E473" s="91"/>
      <c r="F473" s="17"/>
      <c r="G473" s="17"/>
      <c r="H473" s="15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40"/>
      <c r="T473" s="17"/>
      <c r="U473" s="17"/>
      <c r="V473" s="15"/>
      <c r="W473" s="92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</row>
    <row r="474" spans="1:53" ht="14.25" x14ac:dyDescent="0.2">
      <c r="A474" s="13"/>
      <c r="B474" s="14"/>
      <c r="C474" s="15"/>
      <c r="D474" s="15"/>
      <c r="E474" s="91"/>
      <c r="F474" s="17"/>
      <c r="G474" s="17"/>
      <c r="H474" s="15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40"/>
      <c r="T474" s="17"/>
      <c r="U474" s="17"/>
      <c r="V474" s="15"/>
      <c r="W474" s="92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</row>
    <row r="475" spans="1:53" ht="14.25" x14ac:dyDescent="0.2">
      <c r="A475" s="13"/>
      <c r="B475" s="14"/>
      <c r="C475" s="15"/>
      <c r="D475" s="15"/>
      <c r="E475" s="91"/>
      <c r="F475" s="17"/>
      <c r="G475" s="17"/>
      <c r="H475" s="15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40"/>
      <c r="T475" s="17"/>
      <c r="U475" s="17"/>
      <c r="V475" s="15"/>
      <c r="W475" s="92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</row>
    <row r="476" spans="1:53" ht="14.25" x14ac:dyDescent="0.2">
      <c r="A476" s="13"/>
      <c r="B476" s="14"/>
      <c r="C476" s="15"/>
      <c r="D476" s="15"/>
      <c r="E476" s="91"/>
      <c r="F476" s="17"/>
      <c r="G476" s="17"/>
      <c r="H476" s="15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40"/>
      <c r="T476" s="17"/>
      <c r="U476" s="17"/>
      <c r="V476" s="15"/>
      <c r="W476" s="92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</row>
    <row r="477" spans="1:53" ht="14.25" x14ac:dyDescent="0.2">
      <c r="A477" s="13"/>
      <c r="B477" s="14"/>
      <c r="C477" s="15"/>
      <c r="D477" s="15"/>
      <c r="E477" s="91"/>
      <c r="F477" s="17"/>
      <c r="G477" s="17"/>
      <c r="H477" s="15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40"/>
      <c r="T477" s="17"/>
      <c r="U477" s="17"/>
      <c r="V477" s="15"/>
      <c r="W477" s="92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</row>
    <row r="478" spans="1:53" ht="14.25" x14ac:dyDescent="0.2">
      <c r="A478" s="13"/>
      <c r="B478" s="14"/>
      <c r="C478" s="15"/>
      <c r="D478" s="15"/>
      <c r="E478" s="91"/>
      <c r="F478" s="17"/>
      <c r="G478" s="17"/>
      <c r="H478" s="15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40"/>
      <c r="T478" s="17"/>
      <c r="U478" s="17"/>
      <c r="V478" s="15"/>
      <c r="W478" s="92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</row>
    <row r="479" spans="1:53" ht="14.25" x14ac:dyDescent="0.2">
      <c r="A479" s="13"/>
      <c r="B479" s="14"/>
      <c r="C479" s="15"/>
      <c r="D479" s="15"/>
      <c r="E479" s="91"/>
      <c r="F479" s="17"/>
      <c r="G479" s="17"/>
      <c r="H479" s="15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40"/>
      <c r="T479" s="17"/>
      <c r="U479" s="17"/>
      <c r="V479" s="15"/>
      <c r="W479" s="92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</row>
    <row r="480" spans="1:53" ht="14.25" x14ac:dyDescent="0.2">
      <c r="A480" s="13"/>
      <c r="B480" s="14"/>
      <c r="C480" s="15"/>
      <c r="D480" s="15"/>
      <c r="E480" s="91"/>
      <c r="F480" s="17"/>
      <c r="G480" s="17"/>
      <c r="H480" s="15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40"/>
      <c r="T480" s="17"/>
      <c r="U480" s="17"/>
      <c r="V480" s="15"/>
      <c r="W480" s="92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</row>
    <row r="481" spans="1:53" ht="14.25" x14ac:dyDescent="0.2">
      <c r="A481" s="13"/>
      <c r="B481" s="14"/>
      <c r="C481" s="15"/>
      <c r="D481" s="15"/>
      <c r="E481" s="91"/>
      <c r="F481" s="17"/>
      <c r="G481" s="17"/>
      <c r="H481" s="15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40"/>
      <c r="T481" s="17"/>
      <c r="U481" s="17"/>
      <c r="V481" s="15"/>
      <c r="W481" s="92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</row>
    <row r="482" spans="1:53" ht="14.25" x14ac:dyDescent="0.2">
      <c r="A482" s="13"/>
      <c r="B482" s="14"/>
      <c r="C482" s="15"/>
      <c r="D482" s="15"/>
      <c r="E482" s="91"/>
      <c r="F482" s="17"/>
      <c r="G482" s="17"/>
      <c r="H482" s="15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40"/>
      <c r="T482" s="17"/>
      <c r="U482" s="17"/>
      <c r="V482" s="15"/>
      <c r="W482" s="92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</row>
    <row r="483" spans="1:53" ht="14.25" x14ac:dyDescent="0.2">
      <c r="A483" s="13"/>
      <c r="B483" s="14"/>
      <c r="C483" s="15"/>
      <c r="D483" s="15"/>
      <c r="E483" s="91"/>
      <c r="F483" s="17"/>
      <c r="G483" s="17"/>
      <c r="H483" s="15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40"/>
      <c r="T483" s="17"/>
      <c r="U483" s="17"/>
      <c r="V483" s="15"/>
      <c r="W483" s="92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</row>
    <row r="484" spans="1:53" ht="14.25" x14ac:dyDescent="0.2">
      <c r="A484" s="13"/>
      <c r="B484" s="14"/>
      <c r="C484" s="15"/>
      <c r="D484" s="15"/>
      <c r="E484" s="91"/>
      <c r="F484" s="17"/>
      <c r="G484" s="17"/>
      <c r="H484" s="15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40"/>
      <c r="T484" s="17"/>
      <c r="U484" s="17"/>
      <c r="V484" s="15"/>
      <c r="W484" s="92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</row>
    <row r="485" spans="1:53" ht="14.25" x14ac:dyDescent="0.2">
      <c r="A485" s="13"/>
      <c r="B485" s="14"/>
      <c r="C485" s="15"/>
      <c r="D485" s="15"/>
      <c r="E485" s="91"/>
      <c r="F485" s="17"/>
      <c r="G485" s="17"/>
      <c r="H485" s="15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40"/>
      <c r="T485" s="17"/>
      <c r="U485" s="17"/>
      <c r="V485" s="15"/>
      <c r="W485" s="92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</row>
    <row r="486" spans="1:53" ht="14.25" x14ac:dyDescent="0.2">
      <c r="A486" s="13"/>
      <c r="B486" s="14"/>
      <c r="C486" s="15"/>
      <c r="D486" s="15"/>
      <c r="E486" s="91"/>
      <c r="F486" s="17"/>
      <c r="G486" s="17"/>
      <c r="H486" s="15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40"/>
      <c r="T486" s="17"/>
      <c r="U486" s="17"/>
      <c r="V486" s="15"/>
      <c r="W486" s="92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</row>
    <row r="487" spans="1:53" ht="14.25" x14ac:dyDescent="0.2">
      <c r="A487" s="13"/>
      <c r="B487" s="14"/>
      <c r="C487" s="15"/>
      <c r="D487" s="15"/>
      <c r="E487" s="91"/>
      <c r="F487" s="17"/>
      <c r="G487" s="17"/>
      <c r="H487" s="15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40"/>
      <c r="T487" s="17"/>
      <c r="U487" s="17"/>
      <c r="V487" s="15"/>
      <c r="W487" s="92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</row>
    <row r="488" spans="1:53" ht="14.25" x14ac:dyDescent="0.2">
      <c r="A488" s="13"/>
      <c r="B488" s="14"/>
      <c r="C488" s="15"/>
      <c r="D488" s="15"/>
      <c r="E488" s="91"/>
      <c r="F488" s="17"/>
      <c r="G488" s="17"/>
      <c r="H488" s="15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40"/>
      <c r="T488" s="17"/>
      <c r="U488" s="17"/>
      <c r="V488" s="15"/>
      <c r="W488" s="92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</row>
    <row r="489" spans="1:53" ht="14.25" x14ac:dyDescent="0.2">
      <c r="A489" s="13"/>
      <c r="B489" s="14"/>
      <c r="C489" s="15"/>
      <c r="D489" s="15"/>
      <c r="E489" s="91"/>
      <c r="F489" s="17"/>
      <c r="G489" s="17"/>
      <c r="H489" s="15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40"/>
      <c r="T489" s="17"/>
      <c r="U489" s="17"/>
      <c r="V489" s="15"/>
      <c r="W489" s="92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</row>
    <row r="490" spans="1:53" ht="14.25" x14ac:dyDescent="0.2">
      <c r="A490" s="13"/>
      <c r="B490" s="14"/>
      <c r="C490" s="15"/>
      <c r="D490" s="15"/>
      <c r="E490" s="91"/>
      <c r="F490" s="17"/>
      <c r="G490" s="17"/>
      <c r="H490" s="15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40"/>
      <c r="T490" s="17"/>
      <c r="U490" s="17"/>
      <c r="V490" s="15"/>
      <c r="W490" s="92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</row>
    <row r="491" spans="1:53" ht="14.25" x14ac:dyDescent="0.2">
      <c r="A491" s="13"/>
      <c r="B491" s="14"/>
      <c r="C491" s="15"/>
      <c r="D491" s="15"/>
      <c r="E491" s="91"/>
      <c r="F491" s="17"/>
      <c r="G491" s="17"/>
      <c r="H491" s="15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40"/>
      <c r="T491" s="17"/>
      <c r="U491" s="17"/>
      <c r="V491" s="15"/>
      <c r="W491" s="92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</row>
    <row r="492" spans="1:53" ht="14.25" x14ac:dyDescent="0.2">
      <c r="A492" s="13"/>
      <c r="B492" s="14"/>
      <c r="C492" s="15"/>
      <c r="D492" s="15"/>
      <c r="E492" s="91"/>
      <c r="F492" s="17"/>
      <c r="G492" s="17"/>
      <c r="H492" s="15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40"/>
      <c r="T492" s="17"/>
      <c r="U492" s="17"/>
      <c r="V492" s="15"/>
      <c r="W492" s="92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</row>
    <row r="493" spans="1:53" ht="14.25" x14ac:dyDescent="0.2">
      <c r="A493" s="13"/>
      <c r="B493" s="14"/>
      <c r="C493" s="15"/>
      <c r="D493" s="15"/>
      <c r="E493" s="91"/>
      <c r="F493" s="17"/>
      <c r="G493" s="17"/>
      <c r="H493" s="15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40"/>
      <c r="T493" s="17"/>
      <c r="U493" s="17"/>
      <c r="V493" s="15"/>
      <c r="W493" s="92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</row>
    <row r="494" spans="1:53" ht="14.25" x14ac:dyDescent="0.2">
      <c r="A494" s="13"/>
      <c r="B494" s="14"/>
      <c r="C494" s="15"/>
      <c r="D494" s="15"/>
      <c r="E494" s="91"/>
      <c r="F494" s="17"/>
      <c r="G494" s="17"/>
      <c r="H494" s="15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40"/>
      <c r="T494" s="17"/>
      <c r="U494" s="17"/>
      <c r="V494" s="15"/>
      <c r="W494" s="92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</row>
    <row r="495" spans="1:53" ht="14.25" x14ac:dyDescent="0.2">
      <c r="A495" s="13"/>
      <c r="B495" s="14"/>
      <c r="C495" s="15"/>
      <c r="D495" s="15"/>
      <c r="E495" s="91"/>
      <c r="F495" s="17"/>
      <c r="G495" s="17"/>
      <c r="H495" s="15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40"/>
      <c r="T495" s="17"/>
      <c r="U495" s="17"/>
      <c r="V495" s="15"/>
      <c r="W495" s="92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</row>
    <row r="496" spans="1:53" ht="14.25" x14ac:dyDescent="0.2">
      <c r="A496" s="13"/>
      <c r="B496" s="14"/>
      <c r="C496" s="15"/>
      <c r="D496" s="15"/>
      <c r="E496" s="91"/>
      <c r="F496" s="17"/>
      <c r="G496" s="17"/>
      <c r="H496" s="15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40"/>
      <c r="T496" s="17"/>
      <c r="U496" s="17"/>
      <c r="V496" s="15"/>
      <c r="W496" s="92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</row>
    <row r="497" spans="1:53" ht="14.25" x14ac:dyDescent="0.2">
      <c r="A497" s="13"/>
      <c r="B497" s="14"/>
      <c r="C497" s="15"/>
      <c r="D497" s="15"/>
      <c r="E497" s="91"/>
      <c r="F497" s="17"/>
      <c r="G497" s="17"/>
      <c r="H497" s="15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40"/>
      <c r="T497" s="17"/>
      <c r="U497" s="17"/>
      <c r="V497" s="15"/>
      <c r="W497" s="92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</row>
    <row r="498" spans="1:53" ht="14.25" x14ac:dyDescent="0.2">
      <c r="A498" s="13"/>
      <c r="B498" s="14"/>
      <c r="C498" s="15"/>
      <c r="D498" s="15"/>
      <c r="E498" s="91"/>
      <c r="F498" s="17"/>
      <c r="G498" s="17"/>
      <c r="H498" s="15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40"/>
      <c r="T498" s="17"/>
      <c r="U498" s="17"/>
      <c r="V498" s="15"/>
      <c r="W498" s="92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</row>
    <row r="499" spans="1:53" ht="14.25" x14ac:dyDescent="0.2">
      <c r="A499" s="13"/>
      <c r="B499" s="14"/>
      <c r="C499" s="15"/>
      <c r="D499" s="15"/>
      <c r="E499" s="91"/>
      <c r="F499" s="17"/>
      <c r="G499" s="17"/>
      <c r="H499" s="15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40"/>
      <c r="T499" s="17"/>
      <c r="U499" s="17"/>
      <c r="V499" s="15"/>
      <c r="W499" s="92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</row>
    <row r="500" spans="1:53" ht="14.25" x14ac:dyDescent="0.2">
      <c r="A500" s="13"/>
      <c r="B500" s="14"/>
      <c r="C500" s="15"/>
      <c r="D500" s="15"/>
      <c r="E500" s="91"/>
      <c r="F500" s="17"/>
      <c r="G500" s="17"/>
      <c r="H500" s="15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40"/>
      <c r="T500" s="17"/>
      <c r="U500" s="17"/>
      <c r="V500" s="15"/>
      <c r="W500" s="92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</row>
    <row r="501" spans="1:53" ht="14.25" x14ac:dyDescent="0.2">
      <c r="A501" s="13"/>
      <c r="B501" s="14"/>
      <c r="C501" s="15"/>
      <c r="D501" s="15"/>
      <c r="E501" s="91"/>
      <c r="F501" s="17"/>
      <c r="G501" s="17"/>
      <c r="H501" s="15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40"/>
      <c r="T501" s="17"/>
      <c r="U501" s="17"/>
      <c r="V501" s="15"/>
      <c r="W501" s="92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</row>
    <row r="502" spans="1:53" ht="14.25" x14ac:dyDescent="0.2">
      <c r="A502" s="13"/>
      <c r="B502" s="14"/>
      <c r="C502" s="15"/>
      <c r="D502" s="15"/>
      <c r="E502" s="91"/>
      <c r="F502" s="17"/>
      <c r="G502" s="17"/>
      <c r="H502" s="15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40"/>
      <c r="T502" s="17"/>
      <c r="U502" s="17"/>
      <c r="V502" s="15"/>
      <c r="W502" s="92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</row>
    <row r="503" spans="1:53" ht="14.25" x14ac:dyDescent="0.2">
      <c r="A503" s="13"/>
      <c r="B503" s="14"/>
      <c r="C503" s="15"/>
      <c r="D503" s="15"/>
      <c r="E503" s="91"/>
      <c r="F503" s="17"/>
      <c r="G503" s="17"/>
      <c r="H503" s="15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40"/>
      <c r="T503" s="17"/>
      <c r="U503" s="17"/>
      <c r="V503" s="15"/>
      <c r="W503" s="92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</row>
    <row r="504" spans="1:53" ht="14.25" x14ac:dyDescent="0.2">
      <c r="A504" s="13"/>
      <c r="B504" s="14"/>
      <c r="C504" s="15"/>
      <c r="D504" s="15"/>
      <c r="E504" s="91"/>
      <c r="F504" s="17"/>
      <c r="G504" s="17"/>
      <c r="H504" s="15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40"/>
      <c r="T504" s="17"/>
      <c r="U504" s="17"/>
      <c r="V504" s="15"/>
      <c r="W504" s="92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</row>
    <row r="505" spans="1:53" ht="14.25" x14ac:dyDescent="0.2">
      <c r="A505" s="13"/>
      <c r="B505" s="14"/>
      <c r="C505" s="15"/>
      <c r="D505" s="15"/>
      <c r="E505" s="91"/>
      <c r="F505" s="17"/>
      <c r="G505" s="17"/>
      <c r="H505" s="15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40"/>
      <c r="T505" s="17"/>
      <c r="U505" s="17"/>
      <c r="V505" s="15"/>
      <c r="W505" s="92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</row>
    <row r="506" spans="1:53" ht="14.25" x14ac:dyDescent="0.2">
      <c r="A506" s="13"/>
      <c r="B506" s="14"/>
      <c r="C506" s="15"/>
      <c r="D506" s="15"/>
      <c r="E506" s="91"/>
      <c r="F506" s="17"/>
      <c r="G506" s="17"/>
      <c r="H506" s="15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40"/>
      <c r="T506" s="17"/>
      <c r="U506" s="17"/>
      <c r="V506" s="15"/>
      <c r="W506" s="92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</row>
    <row r="507" spans="1:53" ht="14.25" x14ac:dyDescent="0.2">
      <c r="A507" s="13"/>
      <c r="B507" s="14"/>
      <c r="C507" s="15"/>
      <c r="D507" s="15"/>
      <c r="E507" s="91"/>
      <c r="F507" s="17"/>
      <c r="G507" s="17"/>
      <c r="H507" s="15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40"/>
      <c r="T507" s="17"/>
      <c r="U507" s="17"/>
      <c r="V507" s="15"/>
      <c r="W507" s="92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</row>
    <row r="508" spans="1:53" ht="14.25" x14ac:dyDescent="0.2">
      <c r="A508" s="13"/>
      <c r="B508" s="14"/>
      <c r="C508" s="15"/>
      <c r="D508" s="15"/>
      <c r="E508" s="91"/>
      <c r="F508" s="17"/>
      <c r="G508" s="17"/>
      <c r="H508" s="15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40"/>
      <c r="T508" s="17"/>
      <c r="U508" s="17"/>
      <c r="V508" s="15"/>
      <c r="W508" s="92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</row>
    <row r="509" spans="1:53" ht="14.25" x14ac:dyDescent="0.2">
      <c r="A509" s="13"/>
      <c r="B509" s="14"/>
      <c r="C509" s="15"/>
      <c r="D509" s="15"/>
      <c r="E509" s="91"/>
      <c r="F509" s="17"/>
      <c r="G509" s="17"/>
      <c r="H509" s="15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40"/>
      <c r="T509" s="17"/>
      <c r="U509" s="17"/>
      <c r="V509" s="15"/>
      <c r="W509" s="92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</row>
    <row r="510" spans="1:53" ht="14.25" x14ac:dyDescent="0.2">
      <c r="A510" s="13"/>
      <c r="B510" s="14"/>
      <c r="C510" s="15"/>
      <c r="D510" s="15"/>
      <c r="E510" s="91"/>
      <c r="F510" s="17"/>
      <c r="G510" s="17"/>
      <c r="H510" s="15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40"/>
      <c r="T510" s="17"/>
      <c r="U510" s="17"/>
      <c r="V510" s="15"/>
      <c r="W510" s="92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</row>
    <row r="511" spans="1:53" ht="14.25" x14ac:dyDescent="0.2">
      <c r="A511" s="13"/>
      <c r="B511" s="14"/>
      <c r="C511" s="15"/>
      <c r="D511" s="15"/>
      <c r="E511" s="91"/>
      <c r="F511" s="17"/>
      <c r="G511" s="17"/>
      <c r="H511" s="15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40"/>
      <c r="T511" s="17"/>
      <c r="U511" s="17"/>
      <c r="V511" s="15"/>
      <c r="W511" s="92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</row>
    <row r="512" spans="1:53" ht="14.25" x14ac:dyDescent="0.2">
      <c r="A512" s="13"/>
      <c r="B512" s="14"/>
      <c r="C512" s="15"/>
      <c r="D512" s="15"/>
      <c r="E512" s="91"/>
      <c r="F512" s="17"/>
      <c r="G512" s="17"/>
      <c r="H512" s="15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40"/>
      <c r="T512" s="17"/>
      <c r="U512" s="17"/>
      <c r="V512" s="15"/>
      <c r="W512" s="92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</row>
    <row r="513" spans="1:53" ht="14.25" x14ac:dyDescent="0.2">
      <c r="A513" s="13"/>
      <c r="B513" s="14"/>
      <c r="C513" s="15"/>
      <c r="D513" s="15"/>
      <c r="E513" s="91"/>
      <c r="F513" s="17"/>
      <c r="G513" s="17"/>
      <c r="H513" s="15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40"/>
      <c r="T513" s="17"/>
      <c r="U513" s="17"/>
      <c r="V513" s="15"/>
      <c r="W513" s="92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</row>
    <row r="514" spans="1:53" ht="14.25" x14ac:dyDescent="0.2">
      <c r="A514" s="13"/>
      <c r="B514" s="14"/>
      <c r="C514" s="15"/>
      <c r="D514" s="15"/>
      <c r="E514" s="91"/>
      <c r="F514" s="17"/>
      <c r="G514" s="17"/>
      <c r="H514" s="15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40"/>
      <c r="T514" s="17"/>
      <c r="U514" s="17"/>
      <c r="V514" s="15"/>
      <c r="W514" s="92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</row>
    <row r="515" spans="1:53" ht="14.25" x14ac:dyDescent="0.2">
      <c r="A515" s="13"/>
      <c r="B515" s="14"/>
      <c r="C515" s="15"/>
      <c r="D515" s="15"/>
      <c r="E515" s="91"/>
      <c r="F515" s="17"/>
      <c r="G515" s="17"/>
      <c r="H515" s="15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40"/>
      <c r="T515" s="17"/>
      <c r="U515" s="17"/>
      <c r="V515" s="15"/>
      <c r="W515" s="92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</row>
    <row r="516" spans="1:53" ht="14.25" x14ac:dyDescent="0.2">
      <c r="A516" s="13"/>
      <c r="B516" s="14"/>
      <c r="C516" s="15"/>
      <c r="D516" s="15"/>
      <c r="E516" s="91"/>
      <c r="F516" s="17"/>
      <c r="G516" s="17"/>
      <c r="H516" s="15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40"/>
      <c r="T516" s="17"/>
      <c r="U516" s="17"/>
      <c r="V516" s="15"/>
      <c r="W516" s="92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</row>
    <row r="517" spans="1:53" ht="14.25" x14ac:dyDescent="0.2">
      <c r="A517" s="13"/>
      <c r="B517" s="14"/>
      <c r="C517" s="15"/>
      <c r="D517" s="15"/>
      <c r="E517" s="91"/>
      <c r="F517" s="17"/>
      <c r="G517" s="17"/>
      <c r="H517" s="15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40"/>
      <c r="T517" s="17"/>
      <c r="U517" s="17"/>
      <c r="V517" s="15"/>
      <c r="W517" s="92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</row>
    <row r="518" spans="1:53" ht="14.25" x14ac:dyDescent="0.2">
      <c r="A518" s="13"/>
      <c r="B518" s="14"/>
      <c r="C518" s="15"/>
      <c r="D518" s="15"/>
      <c r="E518" s="91"/>
      <c r="F518" s="17"/>
      <c r="G518" s="17"/>
      <c r="H518" s="15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40"/>
      <c r="T518" s="17"/>
      <c r="U518" s="17"/>
      <c r="V518" s="15"/>
      <c r="W518" s="92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</row>
    <row r="519" spans="1:53" ht="14.25" x14ac:dyDescent="0.2">
      <c r="A519" s="13"/>
      <c r="B519" s="14"/>
      <c r="C519" s="15"/>
      <c r="D519" s="15"/>
      <c r="E519" s="91"/>
      <c r="F519" s="17"/>
      <c r="G519" s="17"/>
      <c r="H519" s="15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40"/>
      <c r="T519" s="17"/>
      <c r="U519" s="17"/>
      <c r="V519" s="15"/>
      <c r="W519" s="92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</row>
    <row r="520" spans="1:53" ht="14.25" x14ac:dyDescent="0.2">
      <c r="A520" s="13"/>
      <c r="B520" s="14"/>
      <c r="C520" s="15"/>
      <c r="D520" s="15"/>
      <c r="E520" s="91"/>
      <c r="F520" s="17"/>
      <c r="G520" s="17"/>
      <c r="H520" s="15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40"/>
      <c r="T520" s="17"/>
      <c r="U520" s="17"/>
      <c r="V520" s="15"/>
      <c r="W520" s="92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</row>
    <row r="521" spans="1:53" ht="14.25" x14ac:dyDescent="0.2">
      <c r="A521" s="13"/>
      <c r="B521" s="14"/>
      <c r="C521" s="15"/>
      <c r="D521" s="15"/>
      <c r="E521" s="91"/>
      <c r="F521" s="17"/>
      <c r="G521" s="17"/>
      <c r="H521" s="15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40"/>
      <c r="T521" s="17"/>
      <c r="U521" s="17"/>
      <c r="V521" s="15"/>
      <c r="W521" s="92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</row>
    <row r="522" spans="1:53" ht="14.25" x14ac:dyDescent="0.2">
      <c r="A522" s="13"/>
      <c r="B522" s="14"/>
      <c r="C522" s="15"/>
      <c r="D522" s="15"/>
      <c r="E522" s="91"/>
      <c r="F522" s="17"/>
      <c r="G522" s="17"/>
      <c r="H522" s="15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40"/>
      <c r="T522" s="17"/>
      <c r="U522" s="17"/>
      <c r="V522" s="15"/>
      <c r="W522" s="92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  <c r="BA522" s="15"/>
    </row>
    <row r="523" spans="1:53" ht="14.25" x14ac:dyDescent="0.2">
      <c r="A523" s="13"/>
      <c r="B523" s="14"/>
      <c r="C523" s="15"/>
      <c r="D523" s="15"/>
      <c r="E523" s="91"/>
      <c r="F523" s="17"/>
      <c r="G523" s="17"/>
      <c r="H523" s="15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40"/>
      <c r="T523" s="17"/>
      <c r="U523" s="17"/>
      <c r="V523" s="15"/>
      <c r="W523" s="92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</row>
    <row r="524" spans="1:53" ht="14.25" x14ac:dyDescent="0.2">
      <c r="A524" s="13"/>
      <c r="B524" s="14"/>
      <c r="C524" s="15"/>
      <c r="D524" s="15"/>
      <c r="E524" s="91"/>
      <c r="F524" s="17"/>
      <c r="G524" s="17"/>
      <c r="H524" s="15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40"/>
      <c r="T524" s="17"/>
      <c r="U524" s="17"/>
      <c r="V524" s="15"/>
      <c r="W524" s="92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</row>
    <row r="525" spans="1:53" ht="14.25" x14ac:dyDescent="0.2">
      <c r="A525" s="13"/>
      <c r="B525" s="14"/>
      <c r="C525" s="15"/>
      <c r="D525" s="15"/>
      <c r="E525" s="91"/>
      <c r="F525" s="17"/>
      <c r="G525" s="17"/>
      <c r="H525" s="15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40"/>
      <c r="T525" s="17"/>
      <c r="U525" s="17"/>
      <c r="V525" s="15"/>
      <c r="W525" s="92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</row>
    <row r="526" spans="1:53" ht="14.25" x14ac:dyDescent="0.2">
      <c r="A526" s="13"/>
      <c r="B526" s="14"/>
      <c r="C526" s="15"/>
      <c r="D526" s="15"/>
      <c r="E526" s="91"/>
      <c r="F526" s="17"/>
      <c r="G526" s="17"/>
      <c r="H526" s="15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40"/>
      <c r="T526" s="17"/>
      <c r="U526" s="17"/>
      <c r="V526" s="15"/>
      <c r="W526" s="92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</row>
    <row r="527" spans="1:53" ht="14.25" x14ac:dyDescent="0.2">
      <c r="A527" s="13"/>
      <c r="B527" s="14"/>
      <c r="C527" s="15"/>
      <c r="D527" s="15"/>
      <c r="E527" s="91"/>
      <c r="F527" s="17"/>
      <c r="G527" s="17"/>
      <c r="H527" s="15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40"/>
      <c r="T527" s="17"/>
      <c r="U527" s="17"/>
      <c r="V527" s="15"/>
      <c r="W527" s="92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</row>
    <row r="528" spans="1:53" ht="14.25" x14ac:dyDescent="0.2">
      <c r="A528" s="13"/>
      <c r="B528" s="14"/>
      <c r="C528" s="15"/>
      <c r="D528" s="15"/>
      <c r="E528" s="91"/>
      <c r="F528" s="17"/>
      <c r="G528" s="17"/>
      <c r="H528" s="15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40"/>
      <c r="T528" s="17"/>
      <c r="U528" s="17"/>
      <c r="V528" s="15"/>
      <c r="W528" s="92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/>
    </row>
    <row r="529" spans="1:53" ht="14.25" x14ac:dyDescent="0.2">
      <c r="A529" s="13"/>
      <c r="B529" s="14"/>
      <c r="C529" s="15"/>
      <c r="D529" s="15"/>
      <c r="E529" s="91"/>
      <c r="F529" s="17"/>
      <c r="G529" s="17"/>
      <c r="H529" s="15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40"/>
      <c r="T529" s="17"/>
      <c r="U529" s="17"/>
      <c r="V529" s="15"/>
      <c r="W529" s="92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</row>
    <row r="530" spans="1:53" ht="14.25" x14ac:dyDescent="0.2">
      <c r="A530" s="13"/>
      <c r="B530" s="14"/>
      <c r="C530" s="15"/>
      <c r="D530" s="15"/>
      <c r="E530" s="91"/>
      <c r="F530" s="17"/>
      <c r="G530" s="17"/>
      <c r="H530" s="15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40"/>
      <c r="T530" s="17"/>
      <c r="U530" s="17"/>
      <c r="V530" s="15"/>
      <c r="W530" s="92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</row>
    <row r="531" spans="1:53" ht="14.25" x14ac:dyDescent="0.2">
      <c r="A531" s="13"/>
      <c r="B531" s="14"/>
      <c r="C531" s="15"/>
      <c r="D531" s="15"/>
      <c r="E531" s="91"/>
      <c r="F531" s="17"/>
      <c r="G531" s="17"/>
      <c r="H531" s="15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40"/>
      <c r="T531" s="17"/>
      <c r="U531" s="17"/>
      <c r="V531" s="15"/>
      <c r="W531" s="92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</row>
    <row r="532" spans="1:53" ht="14.25" x14ac:dyDescent="0.2">
      <c r="A532" s="13"/>
      <c r="B532" s="14"/>
      <c r="C532" s="15"/>
      <c r="D532" s="15"/>
      <c r="E532" s="91"/>
      <c r="F532" s="17"/>
      <c r="G532" s="17"/>
      <c r="H532" s="15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40"/>
      <c r="T532" s="17"/>
      <c r="U532" s="17"/>
      <c r="V532" s="15"/>
      <c r="W532" s="92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</row>
    <row r="533" spans="1:53" ht="14.25" x14ac:dyDescent="0.2">
      <c r="A533" s="13"/>
      <c r="B533" s="14"/>
      <c r="C533" s="15"/>
      <c r="D533" s="15"/>
      <c r="E533" s="91"/>
      <c r="F533" s="17"/>
      <c r="G533" s="17"/>
      <c r="H533" s="15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40"/>
      <c r="T533" s="17"/>
      <c r="U533" s="17"/>
      <c r="V533" s="15"/>
      <c r="W533" s="92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</row>
    <row r="534" spans="1:53" ht="14.25" x14ac:dyDescent="0.2">
      <c r="A534" s="13"/>
      <c r="B534" s="14"/>
      <c r="C534" s="15"/>
      <c r="D534" s="15"/>
      <c r="E534" s="91"/>
      <c r="F534" s="17"/>
      <c r="G534" s="17"/>
      <c r="H534" s="15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40"/>
      <c r="T534" s="17"/>
      <c r="U534" s="17"/>
      <c r="V534" s="15"/>
      <c r="W534" s="92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</row>
    <row r="535" spans="1:53" ht="14.25" x14ac:dyDescent="0.2">
      <c r="A535" s="13"/>
      <c r="B535" s="14"/>
      <c r="C535" s="15"/>
      <c r="D535" s="15"/>
      <c r="E535" s="91"/>
      <c r="F535" s="17"/>
      <c r="G535" s="17"/>
      <c r="H535" s="15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40"/>
      <c r="T535" s="17"/>
      <c r="U535" s="17"/>
      <c r="V535" s="15"/>
      <c r="W535" s="92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</row>
    <row r="536" spans="1:53" ht="14.25" x14ac:dyDescent="0.2">
      <c r="A536" s="13"/>
      <c r="B536" s="14"/>
      <c r="C536" s="15"/>
      <c r="D536" s="15"/>
      <c r="E536" s="91"/>
      <c r="F536" s="17"/>
      <c r="G536" s="17"/>
      <c r="H536" s="15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40"/>
      <c r="T536" s="17"/>
      <c r="U536" s="17"/>
      <c r="V536" s="15"/>
      <c r="W536" s="92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</row>
    <row r="537" spans="1:53" ht="14.25" x14ac:dyDescent="0.2">
      <c r="A537" s="13"/>
      <c r="B537" s="14"/>
      <c r="C537" s="15"/>
      <c r="D537" s="15"/>
      <c r="E537" s="91"/>
      <c r="F537" s="17"/>
      <c r="G537" s="17"/>
      <c r="H537" s="15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40"/>
      <c r="T537" s="17"/>
      <c r="U537" s="17"/>
      <c r="V537" s="15"/>
      <c r="W537" s="92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</row>
    <row r="538" spans="1:53" ht="14.25" x14ac:dyDescent="0.2">
      <c r="A538" s="13"/>
      <c r="B538" s="14"/>
      <c r="C538" s="15"/>
      <c r="D538" s="15"/>
      <c r="E538" s="91"/>
      <c r="F538" s="17"/>
      <c r="G538" s="17"/>
      <c r="H538" s="15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40"/>
      <c r="T538" s="17"/>
      <c r="U538" s="17"/>
      <c r="V538" s="15"/>
      <c r="W538" s="92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</row>
    <row r="539" spans="1:53" ht="14.25" x14ac:dyDescent="0.2">
      <c r="A539" s="13"/>
      <c r="B539" s="14"/>
      <c r="C539" s="15"/>
      <c r="D539" s="15"/>
      <c r="E539" s="91"/>
      <c r="F539" s="17"/>
      <c r="G539" s="17"/>
      <c r="H539" s="15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40"/>
      <c r="T539" s="17"/>
      <c r="U539" s="17"/>
      <c r="V539" s="15"/>
      <c r="W539" s="92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</row>
    <row r="540" spans="1:53" ht="14.25" x14ac:dyDescent="0.2">
      <c r="A540" s="13"/>
      <c r="B540" s="14"/>
      <c r="C540" s="15"/>
      <c r="D540" s="15"/>
      <c r="E540" s="91"/>
      <c r="F540" s="17"/>
      <c r="G540" s="17"/>
      <c r="H540" s="15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40"/>
      <c r="T540" s="17"/>
      <c r="U540" s="17"/>
      <c r="V540" s="15"/>
      <c r="W540" s="92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</row>
    <row r="541" spans="1:53" ht="14.25" x14ac:dyDescent="0.2">
      <c r="A541" s="13"/>
      <c r="B541" s="14"/>
      <c r="C541" s="15"/>
      <c r="D541" s="15"/>
      <c r="E541" s="91"/>
      <c r="F541" s="17"/>
      <c r="G541" s="17"/>
      <c r="H541" s="15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40"/>
      <c r="T541" s="17"/>
      <c r="U541" s="17"/>
      <c r="V541" s="15"/>
      <c r="W541" s="92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</row>
    <row r="542" spans="1:53" ht="14.25" x14ac:dyDescent="0.2">
      <c r="A542" s="13"/>
      <c r="B542" s="14"/>
      <c r="C542" s="15"/>
      <c r="D542" s="15"/>
      <c r="E542" s="91"/>
      <c r="F542" s="17"/>
      <c r="G542" s="17"/>
      <c r="H542" s="15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40"/>
      <c r="T542" s="17"/>
      <c r="U542" s="17"/>
      <c r="V542" s="15"/>
      <c r="W542" s="92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</row>
    <row r="543" spans="1:53" ht="14.25" x14ac:dyDescent="0.2">
      <c r="A543" s="13"/>
      <c r="B543" s="14"/>
      <c r="C543" s="15"/>
      <c r="D543" s="15"/>
      <c r="E543" s="91"/>
      <c r="F543" s="17"/>
      <c r="G543" s="17"/>
      <c r="H543" s="15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40"/>
      <c r="T543" s="17"/>
      <c r="U543" s="17"/>
      <c r="V543" s="15"/>
      <c r="W543" s="92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</row>
    <row r="544" spans="1:53" ht="14.25" x14ac:dyDescent="0.2">
      <c r="A544" s="13"/>
      <c r="B544" s="14"/>
      <c r="C544" s="15"/>
      <c r="D544" s="15"/>
      <c r="E544" s="91"/>
      <c r="F544" s="17"/>
      <c r="G544" s="17"/>
      <c r="H544" s="15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40"/>
      <c r="T544" s="17"/>
      <c r="U544" s="17"/>
      <c r="V544" s="15"/>
      <c r="W544" s="92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/>
    </row>
    <row r="545" spans="1:53" ht="14.25" x14ac:dyDescent="0.2">
      <c r="A545" s="13"/>
      <c r="B545" s="14"/>
      <c r="C545" s="15"/>
      <c r="D545" s="15"/>
      <c r="E545" s="91"/>
      <c r="F545" s="17"/>
      <c r="G545" s="17"/>
      <c r="H545" s="15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40"/>
      <c r="T545" s="17"/>
      <c r="U545" s="17"/>
      <c r="V545" s="15"/>
      <c r="W545" s="92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</row>
    <row r="546" spans="1:53" ht="14.25" x14ac:dyDescent="0.2">
      <c r="A546" s="13"/>
      <c r="B546" s="14"/>
      <c r="C546" s="15"/>
      <c r="D546" s="15"/>
      <c r="E546" s="91"/>
      <c r="F546" s="17"/>
      <c r="G546" s="17"/>
      <c r="H546" s="15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40"/>
      <c r="T546" s="17"/>
      <c r="U546" s="17"/>
      <c r="V546" s="15"/>
      <c r="W546" s="92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</row>
    <row r="547" spans="1:53" ht="14.25" x14ac:dyDescent="0.2">
      <c r="A547" s="13"/>
      <c r="B547" s="14"/>
      <c r="C547" s="15"/>
      <c r="D547" s="15"/>
      <c r="E547" s="91"/>
      <c r="F547" s="17"/>
      <c r="G547" s="17"/>
      <c r="H547" s="15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40"/>
      <c r="T547" s="17"/>
      <c r="U547" s="17"/>
      <c r="V547" s="15"/>
      <c r="W547" s="92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</row>
    <row r="548" spans="1:53" ht="14.25" x14ac:dyDescent="0.2">
      <c r="A548" s="13"/>
      <c r="B548" s="14"/>
      <c r="C548" s="15"/>
      <c r="D548" s="15"/>
      <c r="E548" s="91"/>
      <c r="F548" s="17"/>
      <c r="G548" s="17"/>
      <c r="H548" s="15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40"/>
      <c r="T548" s="17"/>
      <c r="U548" s="17"/>
      <c r="V548" s="15"/>
      <c r="W548" s="92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/>
    </row>
    <row r="549" spans="1:53" ht="14.25" x14ac:dyDescent="0.2">
      <c r="A549" s="13"/>
      <c r="B549" s="14"/>
      <c r="C549" s="15"/>
      <c r="D549" s="15"/>
      <c r="E549" s="91"/>
      <c r="F549" s="17"/>
      <c r="G549" s="17"/>
      <c r="H549" s="15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40"/>
      <c r="T549" s="17"/>
      <c r="U549" s="17"/>
      <c r="V549" s="15"/>
      <c r="W549" s="92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</row>
    <row r="550" spans="1:53" ht="14.25" x14ac:dyDescent="0.2">
      <c r="A550" s="13"/>
      <c r="B550" s="14"/>
      <c r="C550" s="15"/>
      <c r="D550" s="15"/>
      <c r="E550" s="91"/>
      <c r="F550" s="17"/>
      <c r="G550" s="17"/>
      <c r="H550" s="15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40"/>
      <c r="T550" s="17"/>
      <c r="U550" s="17"/>
      <c r="V550" s="15"/>
      <c r="W550" s="92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</row>
    <row r="551" spans="1:53" ht="14.25" x14ac:dyDescent="0.2">
      <c r="A551" s="13"/>
      <c r="B551" s="14"/>
      <c r="C551" s="15"/>
      <c r="D551" s="15"/>
      <c r="E551" s="91"/>
      <c r="F551" s="17"/>
      <c r="G551" s="17"/>
      <c r="H551" s="15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40"/>
      <c r="T551" s="17"/>
      <c r="U551" s="17"/>
      <c r="V551" s="15"/>
      <c r="W551" s="92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</row>
    <row r="552" spans="1:53" ht="14.25" x14ac:dyDescent="0.2">
      <c r="A552" s="13"/>
      <c r="B552" s="14"/>
      <c r="C552" s="15"/>
      <c r="D552" s="15"/>
      <c r="E552" s="91"/>
      <c r="F552" s="17"/>
      <c r="G552" s="17"/>
      <c r="H552" s="15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40"/>
      <c r="T552" s="17"/>
      <c r="U552" s="17"/>
      <c r="V552" s="15"/>
      <c r="W552" s="92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</row>
    <row r="553" spans="1:53" ht="14.25" x14ac:dyDescent="0.2">
      <c r="A553" s="13"/>
      <c r="B553" s="14"/>
      <c r="C553" s="15"/>
      <c r="D553" s="15"/>
      <c r="E553" s="91"/>
      <c r="F553" s="17"/>
      <c r="G553" s="17"/>
      <c r="H553" s="15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40"/>
      <c r="T553" s="17"/>
      <c r="U553" s="17"/>
      <c r="V553" s="15"/>
      <c r="W553" s="92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</row>
    <row r="554" spans="1:53" ht="14.25" x14ac:dyDescent="0.2">
      <c r="A554" s="13"/>
      <c r="B554" s="14"/>
      <c r="C554" s="15"/>
      <c r="D554" s="15"/>
      <c r="E554" s="91"/>
      <c r="F554" s="17"/>
      <c r="G554" s="17"/>
      <c r="H554" s="15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40"/>
      <c r="T554" s="17"/>
      <c r="U554" s="17"/>
      <c r="V554" s="15"/>
      <c r="W554" s="92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</row>
    <row r="555" spans="1:53" ht="14.25" x14ac:dyDescent="0.2">
      <c r="A555" s="13"/>
      <c r="B555" s="14"/>
      <c r="C555" s="15"/>
      <c r="D555" s="15"/>
      <c r="E555" s="91"/>
      <c r="F555" s="17"/>
      <c r="G555" s="17"/>
      <c r="H555" s="15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40"/>
      <c r="T555" s="17"/>
      <c r="U555" s="17"/>
      <c r="V555" s="15"/>
      <c r="W555" s="92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</row>
    <row r="556" spans="1:53" ht="14.25" x14ac:dyDescent="0.2">
      <c r="A556" s="13"/>
      <c r="B556" s="14"/>
      <c r="C556" s="15"/>
      <c r="D556" s="15"/>
      <c r="E556" s="91"/>
      <c r="F556" s="17"/>
      <c r="G556" s="17"/>
      <c r="H556" s="15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40"/>
      <c r="T556" s="17"/>
      <c r="U556" s="17"/>
      <c r="V556" s="15"/>
      <c r="W556" s="92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</row>
    <row r="557" spans="1:53" ht="14.25" x14ac:dyDescent="0.2">
      <c r="A557" s="13"/>
      <c r="B557" s="14"/>
      <c r="C557" s="15"/>
      <c r="D557" s="15"/>
      <c r="E557" s="91"/>
      <c r="F557" s="17"/>
      <c r="G557" s="17"/>
      <c r="H557" s="15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40"/>
      <c r="T557" s="17"/>
      <c r="U557" s="17"/>
      <c r="V557" s="15"/>
      <c r="W557" s="92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</row>
    <row r="558" spans="1:53" ht="14.25" x14ac:dyDescent="0.2">
      <c r="A558" s="13"/>
      <c r="B558" s="14"/>
      <c r="C558" s="15"/>
      <c r="D558" s="15"/>
      <c r="E558" s="91"/>
      <c r="F558" s="17"/>
      <c r="G558" s="17"/>
      <c r="H558" s="15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40"/>
      <c r="T558" s="17"/>
      <c r="U558" s="17"/>
      <c r="V558" s="15"/>
      <c r="W558" s="92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</row>
    <row r="559" spans="1:53" ht="14.25" x14ac:dyDescent="0.2">
      <c r="A559" s="13"/>
      <c r="B559" s="14"/>
      <c r="C559" s="15"/>
      <c r="D559" s="15"/>
      <c r="E559" s="91"/>
      <c r="F559" s="17"/>
      <c r="G559" s="17"/>
      <c r="H559" s="15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40"/>
      <c r="T559" s="17"/>
      <c r="U559" s="17"/>
      <c r="V559" s="15"/>
      <c r="W559" s="92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</row>
    <row r="560" spans="1:53" ht="14.25" x14ac:dyDescent="0.2">
      <c r="A560" s="13"/>
      <c r="B560" s="14"/>
      <c r="C560" s="15"/>
      <c r="D560" s="15"/>
      <c r="E560" s="91"/>
      <c r="F560" s="17"/>
      <c r="G560" s="17"/>
      <c r="H560" s="15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40"/>
      <c r="T560" s="17"/>
      <c r="U560" s="17"/>
      <c r="V560" s="15"/>
      <c r="W560" s="92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</row>
    <row r="561" spans="1:53" ht="14.25" x14ac:dyDescent="0.2">
      <c r="A561" s="13"/>
      <c r="B561" s="14"/>
      <c r="C561" s="15"/>
      <c r="D561" s="15"/>
      <c r="E561" s="91"/>
      <c r="F561" s="17"/>
      <c r="G561" s="17"/>
      <c r="H561" s="15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40"/>
      <c r="T561" s="17"/>
      <c r="U561" s="17"/>
      <c r="V561" s="15"/>
      <c r="W561" s="92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</row>
    <row r="562" spans="1:53" ht="14.25" x14ac:dyDescent="0.2">
      <c r="A562" s="13"/>
      <c r="B562" s="14"/>
      <c r="C562" s="15"/>
      <c r="D562" s="15"/>
      <c r="E562" s="91"/>
      <c r="F562" s="17"/>
      <c r="G562" s="17"/>
      <c r="H562" s="15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40"/>
      <c r="T562" s="17"/>
      <c r="U562" s="17"/>
      <c r="V562" s="15"/>
      <c r="W562" s="92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</row>
    <row r="563" spans="1:53" ht="14.25" x14ac:dyDescent="0.2">
      <c r="A563" s="13"/>
      <c r="B563" s="14"/>
      <c r="C563" s="15"/>
      <c r="D563" s="15"/>
      <c r="E563" s="91"/>
      <c r="F563" s="17"/>
      <c r="G563" s="17"/>
      <c r="H563" s="15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40"/>
      <c r="T563" s="17"/>
      <c r="U563" s="17"/>
      <c r="V563" s="15"/>
      <c r="W563" s="92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</row>
    <row r="564" spans="1:53" ht="14.25" x14ac:dyDescent="0.2">
      <c r="A564" s="13"/>
      <c r="B564" s="14"/>
      <c r="C564" s="15"/>
      <c r="D564" s="15"/>
      <c r="E564" s="91"/>
      <c r="F564" s="17"/>
      <c r="G564" s="17"/>
      <c r="H564" s="15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40"/>
      <c r="T564" s="17"/>
      <c r="U564" s="17"/>
      <c r="V564" s="15"/>
      <c r="W564" s="92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</row>
    <row r="565" spans="1:53" ht="14.25" x14ac:dyDescent="0.2">
      <c r="A565" s="13"/>
      <c r="B565" s="14"/>
      <c r="C565" s="15"/>
      <c r="D565" s="15"/>
      <c r="E565" s="91"/>
      <c r="F565" s="17"/>
      <c r="G565" s="17"/>
      <c r="H565" s="15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40"/>
      <c r="T565" s="17"/>
      <c r="U565" s="17"/>
      <c r="V565" s="15"/>
      <c r="W565" s="92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</row>
    <row r="566" spans="1:53" ht="14.25" x14ac:dyDescent="0.2">
      <c r="A566" s="13"/>
      <c r="B566" s="14"/>
      <c r="C566" s="15"/>
      <c r="D566" s="15"/>
      <c r="E566" s="91"/>
      <c r="F566" s="17"/>
      <c r="G566" s="17"/>
      <c r="H566" s="15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40"/>
      <c r="T566" s="17"/>
      <c r="U566" s="17"/>
      <c r="V566" s="15"/>
      <c r="W566" s="92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</row>
    <row r="567" spans="1:53" ht="14.25" x14ac:dyDescent="0.2">
      <c r="A567" s="13"/>
      <c r="B567" s="14"/>
      <c r="C567" s="15"/>
      <c r="D567" s="15"/>
      <c r="E567" s="91"/>
      <c r="F567" s="17"/>
      <c r="G567" s="17"/>
      <c r="H567" s="15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40"/>
      <c r="T567" s="17"/>
      <c r="U567" s="17"/>
      <c r="V567" s="15"/>
      <c r="W567" s="92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</row>
    <row r="568" spans="1:53" ht="14.25" x14ac:dyDescent="0.2">
      <c r="A568" s="13"/>
      <c r="B568" s="14"/>
      <c r="C568" s="15"/>
      <c r="D568" s="15"/>
      <c r="E568" s="91"/>
      <c r="F568" s="17"/>
      <c r="G568" s="17"/>
      <c r="H568" s="15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40"/>
      <c r="T568" s="17"/>
      <c r="U568" s="17"/>
      <c r="V568" s="15"/>
      <c r="W568" s="92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</row>
    <row r="569" spans="1:53" ht="14.25" x14ac:dyDescent="0.2">
      <c r="A569" s="13"/>
      <c r="B569" s="14"/>
      <c r="C569" s="15"/>
      <c r="D569" s="15"/>
      <c r="E569" s="91"/>
      <c r="F569" s="17"/>
      <c r="G569" s="17"/>
      <c r="H569" s="15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40"/>
      <c r="T569" s="17"/>
      <c r="U569" s="17"/>
      <c r="V569" s="15"/>
      <c r="W569" s="92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</row>
    <row r="570" spans="1:53" ht="14.25" x14ac:dyDescent="0.2">
      <c r="A570" s="13"/>
      <c r="B570" s="14"/>
      <c r="C570" s="15"/>
      <c r="D570" s="15"/>
      <c r="E570" s="91"/>
      <c r="F570" s="17"/>
      <c r="G570" s="17"/>
      <c r="H570" s="15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40"/>
      <c r="T570" s="17"/>
      <c r="U570" s="17"/>
      <c r="V570" s="15"/>
      <c r="W570" s="92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</row>
    <row r="571" spans="1:53" ht="14.25" x14ac:dyDescent="0.2">
      <c r="A571" s="13"/>
      <c r="B571" s="14"/>
      <c r="C571" s="15"/>
      <c r="D571" s="15"/>
      <c r="E571" s="91"/>
      <c r="F571" s="17"/>
      <c r="G571" s="17"/>
      <c r="H571" s="15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40"/>
      <c r="T571" s="17"/>
      <c r="U571" s="17"/>
      <c r="V571" s="15"/>
      <c r="W571" s="92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</row>
    <row r="572" spans="1:53" ht="14.25" x14ac:dyDescent="0.2">
      <c r="A572" s="13"/>
      <c r="B572" s="14"/>
      <c r="C572" s="15"/>
      <c r="D572" s="15"/>
      <c r="E572" s="91"/>
      <c r="F572" s="17"/>
      <c r="G572" s="17"/>
      <c r="H572" s="15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40"/>
      <c r="T572" s="17"/>
      <c r="U572" s="17"/>
      <c r="V572" s="15"/>
      <c r="W572" s="92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</row>
    <row r="573" spans="1:53" ht="14.25" x14ac:dyDescent="0.2">
      <c r="A573" s="13"/>
      <c r="B573" s="14"/>
      <c r="C573" s="15"/>
      <c r="D573" s="15"/>
      <c r="E573" s="91"/>
      <c r="F573" s="17"/>
      <c r="G573" s="17"/>
      <c r="H573" s="15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40"/>
      <c r="T573" s="17"/>
      <c r="U573" s="17"/>
      <c r="V573" s="15"/>
      <c r="W573" s="92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</row>
    <row r="574" spans="1:53" ht="14.25" x14ac:dyDescent="0.2">
      <c r="A574" s="13"/>
      <c r="B574" s="14"/>
      <c r="C574" s="15"/>
      <c r="D574" s="15"/>
      <c r="E574" s="91"/>
      <c r="F574" s="17"/>
      <c r="G574" s="17"/>
      <c r="H574" s="15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40"/>
      <c r="T574" s="17"/>
      <c r="U574" s="17"/>
      <c r="V574" s="15"/>
      <c r="W574" s="92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</row>
    <row r="575" spans="1:53" ht="14.25" x14ac:dyDescent="0.2">
      <c r="A575" s="13"/>
      <c r="B575" s="14"/>
      <c r="C575" s="15"/>
      <c r="D575" s="15"/>
      <c r="E575" s="91"/>
      <c r="F575" s="17"/>
      <c r="G575" s="17"/>
      <c r="H575" s="15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40"/>
      <c r="T575" s="17"/>
      <c r="U575" s="17"/>
      <c r="V575" s="15"/>
      <c r="W575" s="92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</row>
    <row r="576" spans="1:53" ht="14.25" x14ac:dyDescent="0.2">
      <c r="A576" s="13"/>
      <c r="B576" s="14"/>
      <c r="C576" s="15"/>
      <c r="D576" s="15"/>
      <c r="E576" s="91"/>
      <c r="F576" s="17"/>
      <c r="G576" s="17"/>
      <c r="H576" s="15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40"/>
      <c r="T576" s="17"/>
      <c r="U576" s="17"/>
      <c r="V576" s="15"/>
      <c r="W576" s="92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</row>
    <row r="577" spans="1:53" ht="14.25" x14ac:dyDescent="0.2">
      <c r="A577" s="13"/>
      <c r="B577" s="14"/>
      <c r="C577" s="15"/>
      <c r="D577" s="15"/>
      <c r="E577" s="91"/>
      <c r="F577" s="17"/>
      <c r="G577" s="17"/>
      <c r="H577" s="15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40"/>
      <c r="T577" s="17"/>
      <c r="U577" s="17"/>
      <c r="V577" s="15"/>
      <c r="W577" s="92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</row>
    <row r="578" spans="1:53" ht="14.25" x14ac:dyDescent="0.2">
      <c r="A578" s="13"/>
      <c r="B578" s="14"/>
      <c r="C578" s="15"/>
      <c r="D578" s="15"/>
      <c r="E578" s="91"/>
      <c r="F578" s="17"/>
      <c r="G578" s="17"/>
      <c r="H578" s="15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40"/>
      <c r="T578" s="17"/>
      <c r="U578" s="17"/>
      <c r="V578" s="15"/>
      <c r="W578" s="92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</row>
    <row r="579" spans="1:53" ht="14.25" x14ac:dyDescent="0.2">
      <c r="A579" s="13"/>
      <c r="B579" s="14"/>
      <c r="C579" s="15"/>
      <c r="D579" s="15"/>
      <c r="E579" s="91"/>
      <c r="F579" s="17"/>
      <c r="G579" s="17"/>
      <c r="H579" s="15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40"/>
      <c r="T579" s="17"/>
      <c r="U579" s="17"/>
      <c r="V579" s="15"/>
      <c r="W579" s="92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</row>
    <row r="580" spans="1:53" ht="14.25" x14ac:dyDescent="0.2">
      <c r="A580" s="13"/>
      <c r="B580" s="14"/>
      <c r="C580" s="15"/>
      <c r="D580" s="15"/>
      <c r="E580" s="91"/>
      <c r="F580" s="17"/>
      <c r="G580" s="17"/>
      <c r="H580" s="15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40"/>
      <c r="T580" s="17"/>
      <c r="U580" s="17"/>
      <c r="V580" s="15"/>
      <c r="W580" s="92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</row>
    <row r="581" spans="1:53" ht="14.25" x14ac:dyDescent="0.2">
      <c r="A581" s="13"/>
      <c r="B581" s="14"/>
      <c r="C581" s="15"/>
      <c r="D581" s="15"/>
      <c r="E581" s="91"/>
      <c r="F581" s="17"/>
      <c r="G581" s="17"/>
      <c r="H581" s="15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40"/>
      <c r="T581" s="17"/>
      <c r="U581" s="17"/>
      <c r="V581" s="15"/>
      <c r="W581" s="92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</row>
    <row r="582" spans="1:53" ht="14.25" x14ac:dyDescent="0.2">
      <c r="A582" s="13"/>
      <c r="B582" s="14"/>
      <c r="C582" s="15"/>
      <c r="D582" s="15"/>
      <c r="E582" s="91"/>
      <c r="F582" s="17"/>
      <c r="G582" s="17"/>
      <c r="H582" s="15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40"/>
      <c r="T582" s="17"/>
      <c r="U582" s="17"/>
      <c r="V582" s="15"/>
      <c r="W582" s="92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  <c r="BA582" s="15"/>
    </row>
    <row r="583" spans="1:53" ht="14.25" x14ac:dyDescent="0.2">
      <c r="A583" s="13"/>
      <c r="B583" s="14"/>
      <c r="C583" s="15"/>
      <c r="D583" s="15"/>
      <c r="E583" s="91"/>
      <c r="F583" s="17"/>
      <c r="G583" s="17"/>
      <c r="H583" s="15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40"/>
      <c r="T583" s="17"/>
      <c r="U583" s="17"/>
      <c r="V583" s="15"/>
      <c r="W583" s="92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</row>
    <row r="584" spans="1:53" ht="14.25" x14ac:dyDescent="0.2">
      <c r="A584" s="13"/>
      <c r="B584" s="14"/>
      <c r="C584" s="15"/>
      <c r="D584" s="15"/>
      <c r="E584" s="91"/>
      <c r="F584" s="17"/>
      <c r="G584" s="17"/>
      <c r="H584" s="15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40"/>
      <c r="T584" s="17"/>
      <c r="U584" s="17"/>
      <c r="V584" s="15"/>
      <c r="W584" s="92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  <c r="BA584" s="15"/>
    </row>
    <row r="585" spans="1:53" ht="14.25" x14ac:dyDescent="0.2">
      <c r="A585" s="13"/>
      <c r="B585" s="14"/>
      <c r="C585" s="15"/>
      <c r="D585" s="15"/>
      <c r="E585" s="91"/>
      <c r="F585" s="17"/>
      <c r="G585" s="17"/>
      <c r="H585" s="15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40"/>
      <c r="T585" s="17"/>
      <c r="U585" s="17"/>
      <c r="V585" s="15"/>
      <c r="W585" s="92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</row>
    <row r="586" spans="1:53" ht="14.25" x14ac:dyDescent="0.2">
      <c r="A586" s="13"/>
      <c r="B586" s="14"/>
      <c r="C586" s="15"/>
      <c r="D586" s="15"/>
      <c r="E586" s="91"/>
      <c r="F586" s="17"/>
      <c r="G586" s="17"/>
      <c r="H586" s="15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40"/>
      <c r="T586" s="17"/>
      <c r="U586" s="17"/>
      <c r="V586" s="15"/>
      <c r="W586" s="92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  <c r="BA586" s="15"/>
    </row>
    <row r="587" spans="1:53" ht="14.25" x14ac:dyDescent="0.2">
      <c r="A587" s="13"/>
      <c r="B587" s="14"/>
      <c r="C587" s="15"/>
      <c r="D587" s="15"/>
      <c r="E587" s="91"/>
      <c r="F587" s="17"/>
      <c r="G587" s="17"/>
      <c r="H587" s="15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40"/>
      <c r="T587" s="17"/>
      <c r="U587" s="17"/>
      <c r="V587" s="15"/>
      <c r="W587" s="92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</row>
    <row r="588" spans="1:53" ht="14.25" x14ac:dyDescent="0.2">
      <c r="A588" s="13"/>
      <c r="B588" s="14"/>
      <c r="C588" s="15"/>
      <c r="D588" s="15"/>
      <c r="E588" s="91"/>
      <c r="F588" s="17"/>
      <c r="G588" s="17"/>
      <c r="H588" s="15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40"/>
      <c r="T588" s="17"/>
      <c r="U588" s="17"/>
      <c r="V588" s="15"/>
      <c r="W588" s="92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</row>
    <row r="589" spans="1:53" ht="14.25" x14ac:dyDescent="0.2">
      <c r="A589" s="13"/>
      <c r="B589" s="14"/>
      <c r="C589" s="15"/>
      <c r="D589" s="15"/>
      <c r="E589" s="91"/>
      <c r="F589" s="17"/>
      <c r="G589" s="17"/>
      <c r="H589" s="15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40"/>
      <c r="T589" s="17"/>
      <c r="U589" s="17"/>
      <c r="V589" s="15"/>
      <c r="W589" s="92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</row>
    <row r="590" spans="1:53" ht="14.25" x14ac:dyDescent="0.2">
      <c r="A590" s="13"/>
      <c r="B590" s="14"/>
      <c r="C590" s="15"/>
      <c r="D590" s="15"/>
      <c r="E590" s="91"/>
      <c r="F590" s="17"/>
      <c r="G590" s="17"/>
      <c r="H590" s="15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40"/>
      <c r="T590" s="17"/>
      <c r="U590" s="17"/>
      <c r="V590" s="15"/>
      <c r="W590" s="92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/>
    </row>
    <row r="591" spans="1:53" ht="14.25" x14ac:dyDescent="0.2">
      <c r="A591" s="13"/>
      <c r="B591" s="14"/>
      <c r="C591" s="15"/>
      <c r="D591" s="15"/>
      <c r="E591" s="91"/>
      <c r="F591" s="17"/>
      <c r="G591" s="17"/>
      <c r="H591" s="15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40"/>
      <c r="T591" s="17"/>
      <c r="U591" s="17"/>
      <c r="V591" s="15"/>
      <c r="W591" s="92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</row>
    <row r="592" spans="1:53" ht="14.25" x14ac:dyDescent="0.2">
      <c r="A592" s="13"/>
      <c r="B592" s="14"/>
      <c r="C592" s="15"/>
      <c r="D592" s="15"/>
      <c r="E592" s="91"/>
      <c r="F592" s="17"/>
      <c r="G592" s="17"/>
      <c r="H592" s="15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40"/>
      <c r="T592" s="17"/>
      <c r="U592" s="17"/>
      <c r="V592" s="15"/>
      <c r="W592" s="92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  <c r="BA592" s="15"/>
    </row>
    <row r="593" spans="1:53" ht="14.25" x14ac:dyDescent="0.2">
      <c r="A593" s="13"/>
      <c r="B593" s="14"/>
      <c r="C593" s="15"/>
      <c r="D593" s="15"/>
      <c r="E593" s="91"/>
      <c r="F593" s="17"/>
      <c r="G593" s="17"/>
      <c r="H593" s="15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40"/>
      <c r="T593" s="17"/>
      <c r="U593" s="17"/>
      <c r="V593" s="15"/>
      <c r="W593" s="92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</row>
    <row r="594" spans="1:53" ht="14.25" x14ac:dyDescent="0.2">
      <c r="A594" s="13"/>
      <c r="B594" s="14"/>
      <c r="C594" s="15"/>
      <c r="D594" s="15"/>
      <c r="E594" s="91"/>
      <c r="F594" s="17"/>
      <c r="G594" s="17"/>
      <c r="H594" s="15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40"/>
      <c r="T594" s="17"/>
      <c r="U594" s="17"/>
      <c r="V594" s="15"/>
      <c r="W594" s="92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  <c r="BA594" s="15"/>
    </row>
    <row r="595" spans="1:53" ht="14.25" x14ac:dyDescent="0.2">
      <c r="A595" s="13"/>
      <c r="B595" s="14"/>
      <c r="C595" s="15"/>
      <c r="D595" s="15"/>
      <c r="E595" s="91"/>
      <c r="F595" s="17"/>
      <c r="G595" s="17"/>
      <c r="H595" s="15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40"/>
      <c r="T595" s="17"/>
      <c r="U595" s="17"/>
      <c r="V595" s="15"/>
      <c r="W595" s="92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</row>
    <row r="596" spans="1:53" ht="14.25" x14ac:dyDescent="0.2">
      <c r="A596" s="13"/>
      <c r="B596" s="14"/>
      <c r="C596" s="15"/>
      <c r="D596" s="15"/>
      <c r="E596" s="91"/>
      <c r="F596" s="17"/>
      <c r="G596" s="17"/>
      <c r="H596" s="15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40"/>
      <c r="T596" s="17"/>
      <c r="U596" s="17"/>
      <c r="V596" s="15"/>
      <c r="W596" s="92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  <c r="BA596" s="15"/>
    </row>
    <row r="597" spans="1:53" ht="14.25" x14ac:dyDescent="0.2">
      <c r="A597" s="13"/>
      <c r="B597" s="14"/>
      <c r="C597" s="15"/>
      <c r="D597" s="15"/>
      <c r="E597" s="91"/>
      <c r="F597" s="17"/>
      <c r="G597" s="17"/>
      <c r="H597" s="15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40"/>
      <c r="T597" s="17"/>
      <c r="U597" s="17"/>
      <c r="V597" s="15"/>
      <c r="W597" s="92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</row>
    <row r="598" spans="1:53" ht="14.25" x14ac:dyDescent="0.2">
      <c r="A598" s="13"/>
      <c r="B598" s="14"/>
      <c r="C598" s="15"/>
      <c r="D598" s="15"/>
      <c r="E598" s="91"/>
      <c r="F598" s="17"/>
      <c r="G598" s="17"/>
      <c r="H598" s="15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40"/>
      <c r="T598" s="17"/>
      <c r="U598" s="17"/>
      <c r="V598" s="15"/>
      <c r="W598" s="92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  <c r="BA598" s="15"/>
    </row>
    <row r="599" spans="1:53" ht="14.25" x14ac:dyDescent="0.2">
      <c r="A599" s="13"/>
      <c r="B599" s="14"/>
      <c r="C599" s="15"/>
      <c r="D599" s="15"/>
      <c r="E599" s="91"/>
      <c r="F599" s="17"/>
      <c r="G599" s="17"/>
      <c r="H599" s="15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40"/>
      <c r="T599" s="17"/>
      <c r="U599" s="17"/>
      <c r="V599" s="15"/>
      <c r="W599" s="92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</row>
    <row r="600" spans="1:53" ht="14.25" x14ac:dyDescent="0.2">
      <c r="A600" s="13"/>
      <c r="B600" s="14"/>
      <c r="C600" s="15"/>
      <c r="D600" s="15"/>
      <c r="E600" s="91"/>
      <c r="F600" s="17"/>
      <c r="G600" s="17"/>
      <c r="H600" s="15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40"/>
      <c r="T600" s="17"/>
      <c r="U600" s="17"/>
      <c r="V600" s="15"/>
      <c r="W600" s="92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  <c r="BA600" s="15"/>
    </row>
    <row r="601" spans="1:53" ht="14.25" x14ac:dyDescent="0.2">
      <c r="A601" s="13"/>
      <c r="B601" s="14"/>
      <c r="C601" s="15"/>
      <c r="D601" s="15"/>
      <c r="E601" s="91"/>
      <c r="F601" s="17"/>
      <c r="G601" s="17"/>
      <c r="H601" s="15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40"/>
      <c r="T601" s="17"/>
      <c r="U601" s="17"/>
      <c r="V601" s="15"/>
      <c r="W601" s="92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</row>
    <row r="602" spans="1:53" ht="14.25" x14ac:dyDescent="0.2">
      <c r="A602" s="13"/>
      <c r="B602" s="14"/>
      <c r="C602" s="15"/>
      <c r="D602" s="15"/>
      <c r="E602" s="91"/>
      <c r="F602" s="17"/>
      <c r="G602" s="17"/>
      <c r="H602" s="15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40"/>
      <c r="T602" s="17"/>
      <c r="U602" s="17"/>
      <c r="V602" s="15"/>
      <c r="W602" s="92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  <c r="BA602" s="15"/>
    </row>
    <row r="603" spans="1:53" ht="14.25" x14ac:dyDescent="0.2">
      <c r="A603" s="13"/>
      <c r="B603" s="14"/>
      <c r="C603" s="15"/>
      <c r="D603" s="15"/>
      <c r="E603" s="91"/>
      <c r="F603" s="17"/>
      <c r="G603" s="17"/>
      <c r="H603" s="15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40"/>
      <c r="T603" s="17"/>
      <c r="U603" s="17"/>
      <c r="V603" s="15"/>
      <c r="W603" s="92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</row>
    <row r="604" spans="1:53" ht="14.25" x14ac:dyDescent="0.2">
      <c r="A604" s="13"/>
      <c r="B604" s="14"/>
      <c r="C604" s="15"/>
      <c r="D604" s="15"/>
      <c r="E604" s="91"/>
      <c r="F604" s="17"/>
      <c r="G604" s="17"/>
      <c r="H604" s="15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40"/>
      <c r="T604" s="17"/>
      <c r="U604" s="17"/>
      <c r="V604" s="15"/>
      <c r="W604" s="92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  <c r="AX604" s="15"/>
      <c r="AY604" s="15"/>
      <c r="AZ604" s="15"/>
      <c r="BA604" s="15"/>
    </row>
    <row r="605" spans="1:53" ht="14.25" x14ac:dyDescent="0.2">
      <c r="A605" s="13"/>
      <c r="B605" s="14"/>
      <c r="C605" s="15"/>
      <c r="D605" s="15"/>
      <c r="E605" s="91"/>
      <c r="F605" s="17"/>
      <c r="G605" s="17"/>
      <c r="H605" s="15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40"/>
      <c r="T605" s="17"/>
      <c r="U605" s="17"/>
      <c r="V605" s="15"/>
      <c r="W605" s="92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</row>
    <row r="606" spans="1:53" ht="14.25" x14ac:dyDescent="0.2">
      <c r="A606" s="13"/>
      <c r="B606" s="14"/>
      <c r="C606" s="15"/>
      <c r="D606" s="15"/>
      <c r="E606" s="91"/>
      <c r="F606" s="17"/>
      <c r="G606" s="17"/>
      <c r="H606" s="15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40"/>
      <c r="T606" s="17"/>
      <c r="U606" s="17"/>
      <c r="V606" s="15"/>
      <c r="W606" s="92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  <c r="BA606" s="15"/>
    </row>
    <row r="607" spans="1:53" ht="14.25" x14ac:dyDescent="0.2">
      <c r="A607" s="13"/>
      <c r="B607" s="14"/>
      <c r="C607" s="15"/>
      <c r="D607" s="15"/>
      <c r="E607" s="91"/>
      <c r="F607" s="17"/>
      <c r="G607" s="17"/>
      <c r="H607" s="15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40"/>
      <c r="T607" s="17"/>
      <c r="U607" s="17"/>
      <c r="V607" s="15"/>
      <c r="W607" s="92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  <c r="BA607" s="15"/>
    </row>
    <row r="608" spans="1:53" ht="14.25" x14ac:dyDescent="0.2">
      <c r="A608" s="13"/>
      <c r="B608" s="14"/>
      <c r="C608" s="15"/>
      <c r="D608" s="15"/>
      <c r="E608" s="91"/>
      <c r="F608" s="17"/>
      <c r="G608" s="17"/>
      <c r="H608" s="15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40"/>
      <c r="T608" s="17"/>
      <c r="U608" s="17"/>
      <c r="V608" s="15"/>
      <c r="W608" s="92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  <c r="BA608" s="15"/>
    </row>
    <row r="609" spans="1:53" ht="14.25" x14ac:dyDescent="0.2">
      <c r="A609" s="13"/>
      <c r="B609" s="14"/>
      <c r="C609" s="15"/>
      <c r="D609" s="15"/>
      <c r="E609" s="91"/>
      <c r="F609" s="17"/>
      <c r="G609" s="17"/>
      <c r="H609" s="15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40"/>
      <c r="T609" s="17"/>
      <c r="U609" s="17"/>
      <c r="V609" s="15"/>
      <c r="W609" s="92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</row>
    <row r="610" spans="1:53" ht="14.25" x14ac:dyDescent="0.2">
      <c r="A610" s="13"/>
      <c r="B610" s="14"/>
      <c r="C610" s="15"/>
      <c r="D610" s="15"/>
      <c r="E610" s="91"/>
      <c r="F610" s="17"/>
      <c r="G610" s="17"/>
      <c r="H610" s="15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40"/>
      <c r="T610" s="17"/>
      <c r="U610" s="17"/>
      <c r="V610" s="15"/>
      <c r="W610" s="92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  <c r="BA610" s="15"/>
    </row>
    <row r="611" spans="1:53" ht="14.25" x14ac:dyDescent="0.2">
      <c r="A611" s="13"/>
      <c r="B611" s="14"/>
      <c r="C611" s="15"/>
      <c r="D611" s="15"/>
      <c r="E611" s="91"/>
      <c r="F611" s="17"/>
      <c r="G611" s="17"/>
      <c r="H611" s="15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40"/>
      <c r="T611" s="17"/>
      <c r="U611" s="17"/>
      <c r="V611" s="15"/>
      <c r="W611" s="92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/>
    </row>
    <row r="612" spans="1:53" ht="14.25" x14ac:dyDescent="0.2">
      <c r="A612" s="13"/>
      <c r="B612" s="14"/>
      <c r="C612" s="15"/>
      <c r="D612" s="15"/>
      <c r="E612" s="91"/>
      <c r="F612" s="17"/>
      <c r="G612" s="17"/>
      <c r="H612" s="15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40"/>
      <c r="T612" s="17"/>
      <c r="U612" s="17"/>
      <c r="V612" s="15"/>
      <c r="W612" s="92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  <c r="AX612" s="15"/>
      <c r="AY612" s="15"/>
      <c r="AZ612" s="15"/>
      <c r="BA612" s="15"/>
    </row>
    <row r="613" spans="1:53" ht="14.25" x14ac:dyDescent="0.2">
      <c r="A613" s="13"/>
      <c r="B613" s="14"/>
      <c r="C613" s="15"/>
      <c r="D613" s="15"/>
      <c r="E613" s="91"/>
      <c r="F613" s="17"/>
      <c r="G613" s="17"/>
      <c r="H613" s="15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40"/>
      <c r="T613" s="17"/>
      <c r="U613" s="17"/>
      <c r="V613" s="15"/>
      <c r="W613" s="92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</row>
    <row r="614" spans="1:53" ht="14.25" x14ac:dyDescent="0.2">
      <c r="A614" s="13"/>
      <c r="B614" s="14"/>
      <c r="C614" s="15"/>
      <c r="D614" s="15"/>
      <c r="E614" s="91"/>
      <c r="F614" s="17"/>
      <c r="G614" s="17"/>
      <c r="H614" s="15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40"/>
      <c r="T614" s="17"/>
      <c r="U614" s="17"/>
      <c r="V614" s="15"/>
      <c r="W614" s="92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  <c r="BA614" s="15"/>
    </row>
    <row r="615" spans="1:53" ht="14.25" x14ac:dyDescent="0.2">
      <c r="A615" s="13"/>
      <c r="B615" s="14"/>
      <c r="C615" s="15"/>
      <c r="D615" s="15"/>
      <c r="E615" s="91"/>
      <c r="F615" s="17"/>
      <c r="G615" s="17"/>
      <c r="H615" s="15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40"/>
      <c r="T615" s="17"/>
      <c r="U615" s="17"/>
      <c r="V615" s="15"/>
      <c r="W615" s="92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  <c r="BA615" s="15"/>
    </row>
    <row r="616" spans="1:53" ht="14.25" x14ac:dyDescent="0.2">
      <c r="A616" s="13"/>
      <c r="B616" s="14"/>
      <c r="C616" s="15"/>
      <c r="D616" s="15"/>
      <c r="E616" s="91"/>
      <c r="F616" s="17"/>
      <c r="G616" s="17"/>
      <c r="H616" s="15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40"/>
      <c r="T616" s="17"/>
      <c r="U616" s="17"/>
      <c r="V616" s="15"/>
      <c r="W616" s="92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  <c r="BA616" s="15"/>
    </row>
    <row r="617" spans="1:53" ht="14.25" x14ac:dyDescent="0.2">
      <c r="A617" s="13"/>
      <c r="B617" s="14"/>
      <c r="C617" s="15"/>
      <c r="D617" s="15"/>
      <c r="E617" s="91"/>
      <c r="F617" s="17"/>
      <c r="G617" s="17"/>
      <c r="H617" s="15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40"/>
      <c r="T617" s="17"/>
      <c r="U617" s="17"/>
      <c r="V617" s="15"/>
      <c r="W617" s="92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</row>
    <row r="618" spans="1:53" ht="14.25" x14ac:dyDescent="0.2">
      <c r="A618" s="13"/>
      <c r="B618" s="14"/>
      <c r="C618" s="15"/>
      <c r="D618" s="15"/>
      <c r="E618" s="91"/>
      <c r="F618" s="17"/>
      <c r="G618" s="17"/>
      <c r="H618" s="15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40"/>
      <c r="T618" s="17"/>
      <c r="U618" s="17"/>
      <c r="V618" s="15"/>
      <c r="W618" s="92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  <c r="BA618" s="15"/>
    </row>
    <row r="619" spans="1:53" ht="14.25" x14ac:dyDescent="0.2">
      <c r="A619" s="13"/>
      <c r="B619" s="14"/>
      <c r="C619" s="15"/>
      <c r="D619" s="15"/>
      <c r="E619" s="91"/>
      <c r="F619" s="17"/>
      <c r="G619" s="17"/>
      <c r="H619" s="15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40"/>
      <c r="T619" s="17"/>
      <c r="U619" s="17"/>
      <c r="V619" s="15"/>
      <c r="W619" s="92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  <c r="BA619" s="15"/>
    </row>
    <row r="620" spans="1:53" ht="14.25" x14ac:dyDescent="0.2">
      <c r="A620" s="13"/>
      <c r="B620" s="14"/>
      <c r="C620" s="15"/>
      <c r="D620" s="15"/>
      <c r="E620" s="91"/>
      <c r="F620" s="17"/>
      <c r="G620" s="17"/>
      <c r="H620" s="15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40"/>
      <c r="T620" s="17"/>
      <c r="U620" s="17"/>
      <c r="V620" s="15"/>
      <c r="W620" s="92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  <c r="BA620" s="15"/>
    </row>
    <row r="621" spans="1:53" ht="14.25" x14ac:dyDescent="0.2">
      <c r="A621" s="13"/>
      <c r="B621" s="14"/>
      <c r="C621" s="15"/>
      <c r="D621" s="15"/>
      <c r="E621" s="91"/>
      <c r="F621" s="17"/>
      <c r="G621" s="17"/>
      <c r="H621" s="15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40"/>
      <c r="T621" s="17"/>
      <c r="U621" s="17"/>
      <c r="V621" s="15"/>
      <c r="W621" s="92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  <c r="BA621" s="15"/>
    </row>
    <row r="622" spans="1:53" ht="14.25" x14ac:dyDescent="0.2">
      <c r="A622" s="13"/>
      <c r="B622" s="14"/>
      <c r="C622" s="15"/>
      <c r="D622" s="15"/>
      <c r="E622" s="91"/>
      <c r="F622" s="17"/>
      <c r="G622" s="17"/>
      <c r="H622" s="15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40"/>
      <c r="T622" s="17"/>
      <c r="U622" s="17"/>
      <c r="V622" s="15"/>
      <c r="W622" s="92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  <c r="BA622" s="15"/>
    </row>
    <row r="623" spans="1:53" ht="14.25" x14ac:dyDescent="0.2">
      <c r="A623" s="13"/>
      <c r="B623" s="14"/>
      <c r="C623" s="15"/>
      <c r="D623" s="15"/>
      <c r="E623" s="91"/>
      <c r="F623" s="17"/>
      <c r="G623" s="17"/>
      <c r="H623" s="15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40"/>
      <c r="T623" s="17"/>
      <c r="U623" s="17"/>
      <c r="V623" s="15"/>
      <c r="W623" s="92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  <c r="BA623" s="15"/>
    </row>
    <row r="624" spans="1:53" ht="14.25" x14ac:dyDescent="0.2">
      <c r="A624" s="13"/>
      <c r="B624" s="14"/>
      <c r="C624" s="15"/>
      <c r="D624" s="15"/>
      <c r="E624" s="91"/>
      <c r="F624" s="17"/>
      <c r="G624" s="17"/>
      <c r="H624" s="15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40"/>
      <c r="T624" s="17"/>
      <c r="U624" s="17"/>
      <c r="V624" s="15"/>
      <c r="W624" s="92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  <c r="BA624" s="15"/>
    </row>
    <row r="625" spans="1:53" ht="14.25" x14ac:dyDescent="0.2">
      <c r="A625" s="13"/>
      <c r="B625" s="14"/>
      <c r="C625" s="15"/>
      <c r="D625" s="15"/>
      <c r="E625" s="91"/>
      <c r="F625" s="17"/>
      <c r="G625" s="17"/>
      <c r="H625" s="15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40"/>
      <c r="T625" s="17"/>
      <c r="U625" s="17"/>
      <c r="V625" s="15"/>
      <c r="W625" s="92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  <c r="BA625" s="15"/>
    </row>
    <row r="626" spans="1:53" ht="14.25" x14ac:dyDescent="0.2">
      <c r="A626" s="13"/>
      <c r="B626" s="14"/>
      <c r="C626" s="15"/>
      <c r="D626" s="15"/>
      <c r="E626" s="91"/>
      <c r="F626" s="17"/>
      <c r="G626" s="17"/>
      <c r="H626" s="15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40"/>
      <c r="T626" s="17"/>
      <c r="U626" s="17"/>
      <c r="V626" s="15"/>
      <c r="W626" s="92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  <c r="BA626" s="15"/>
    </row>
    <row r="627" spans="1:53" ht="14.25" x14ac:dyDescent="0.2">
      <c r="A627" s="13"/>
      <c r="B627" s="14"/>
      <c r="C627" s="15"/>
      <c r="D627" s="15"/>
      <c r="E627" s="91"/>
      <c r="F627" s="17"/>
      <c r="G627" s="17"/>
      <c r="H627" s="15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40"/>
      <c r="T627" s="17"/>
      <c r="U627" s="17"/>
      <c r="V627" s="15"/>
      <c r="W627" s="92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</row>
    <row r="628" spans="1:53" ht="14.25" x14ac:dyDescent="0.2">
      <c r="A628" s="13"/>
      <c r="B628" s="14"/>
      <c r="C628" s="15"/>
      <c r="D628" s="15"/>
      <c r="E628" s="91"/>
      <c r="F628" s="17"/>
      <c r="G628" s="17"/>
      <c r="H628" s="15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40"/>
      <c r="T628" s="17"/>
      <c r="U628" s="17"/>
      <c r="V628" s="15"/>
      <c r="W628" s="92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  <c r="AX628" s="15"/>
      <c r="AY628" s="15"/>
      <c r="AZ628" s="15"/>
      <c r="BA628" s="15"/>
    </row>
    <row r="629" spans="1:53" ht="14.25" x14ac:dyDescent="0.2">
      <c r="A629" s="13"/>
      <c r="B629" s="14"/>
      <c r="C629" s="15"/>
      <c r="D629" s="15"/>
      <c r="E629" s="91"/>
      <c r="F629" s="17"/>
      <c r="G629" s="17"/>
      <c r="H629" s="15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40"/>
      <c r="T629" s="17"/>
      <c r="U629" s="17"/>
      <c r="V629" s="15"/>
      <c r="W629" s="92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/>
    </row>
    <row r="630" spans="1:53" ht="14.25" x14ac:dyDescent="0.2">
      <c r="A630" s="13"/>
      <c r="B630" s="14"/>
      <c r="C630" s="15"/>
      <c r="D630" s="15"/>
      <c r="E630" s="91"/>
      <c r="F630" s="17"/>
      <c r="G630" s="17"/>
      <c r="H630" s="15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40"/>
      <c r="T630" s="17"/>
      <c r="U630" s="17"/>
      <c r="V630" s="15"/>
      <c r="W630" s="92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  <c r="BA630" s="15"/>
    </row>
    <row r="631" spans="1:53" ht="14.25" x14ac:dyDescent="0.2">
      <c r="A631" s="13"/>
      <c r="B631" s="14"/>
      <c r="C631" s="15"/>
      <c r="D631" s="15"/>
      <c r="E631" s="91"/>
      <c r="F631" s="17"/>
      <c r="G631" s="17"/>
      <c r="H631" s="15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40"/>
      <c r="T631" s="17"/>
      <c r="U631" s="17"/>
      <c r="V631" s="15"/>
      <c r="W631" s="92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  <c r="BA631" s="15"/>
    </row>
    <row r="632" spans="1:53" ht="14.25" x14ac:dyDescent="0.2">
      <c r="A632" s="13"/>
      <c r="B632" s="14"/>
      <c r="C632" s="15"/>
      <c r="D632" s="15"/>
      <c r="E632" s="91"/>
      <c r="F632" s="17"/>
      <c r="G632" s="17"/>
      <c r="H632" s="15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40"/>
      <c r="T632" s="17"/>
      <c r="U632" s="17"/>
      <c r="V632" s="15"/>
      <c r="W632" s="92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  <c r="AZ632" s="15"/>
      <c r="BA632" s="15"/>
    </row>
    <row r="633" spans="1:53" ht="14.25" x14ac:dyDescent="0.2">
      <c r="A633" s="13"/>
      <c r="B633" s="14"/>
      <c r="C633" s="15"/>
      <c r="D633" s="15"/>
      <c r="E633" s="91"/>
      <c r="F633" s="17"/>
      <c r="G633" s="17"/>
      <c r="H633" s="15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40"/>
      <c r="T633" s="17"/>
      <c r="U633" s="17"/>
      <c r="V633" s="15"/>
      <c r="W633" s="92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  <c r="BA633" s="15"/>
    </row>
    <row r="634" spans="1:53" ht="14.25" x14ac:dyDescent="0.2">
      <c r="A634" s="13"/>
      <c r="B634" s="14"/>
      <c r="C634" s="15"/>
      <c r="D634" s="15"/>
      <c r="E634" s="91"/>
      <c r="F634" s="17"/>
      <c r="G634" s="17"/>
      <c r="H634" s="15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40"/>
      <c r="T634" s="17"/>
      <c r="U634" s="17"/>
      <c r="V634" s="15"/>
      <c r="W634" s="92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  <c r="BA634" s="15"/>
    </row>
    <row r="635" spans="1:53" ht="14.25" x14ac:dyDescent="0.2">
      <c r="A635" s="13"/>
      <c r="B635" s="14"/>
      <c r="C635" s="15"/>
      <c r="D635" s="15"/>
      <c r="E635" s="91"/>
      <c r="F635" s="17"/>
      <c r="G635" s="17"/>
      <c r="H635" s="15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40"/>
      <c r="T635" s="17"/>
      <c r="U635" s="17"/>
      <c r="V635" s="15"/>
      <c r="W635" s="92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  <c r="BA635" s="15"/>
    </row>
    <row r="636" spans="1:53" ht="14.25" x14ac:dyDescent="0.2">
      <c r="A636" s="13"/>
      <c r="B636" s="14"/>
      <c r="C636" s="15"/>
      <c r="D636" s="15"/>
      <c r="E636" s="91"/>
      <c r="F636" s="17"/>
      <c r="G636" s="17"/>
      <c r="H636" s="15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40"/>
      <c r="T636" s="17"/>
      <c r="U636" s="17"/>
      <c r="V636" s="15"/>
      <c r="W636" s="92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  <c r="AZ636" s="15"/>
      <c r="BA636" s="15"/>
    </row>
    <row r="637" spans="1:53" ht="14.25" x14ac:dyDescent="0.2">
      <c r="A637" s="13"/>
      <c r="B637" s="14"/>
      <c r="C637" s="15"/>
      <c r="D637" s="15"/>
      <c r="E637" s="91"/>
      <c r="F637" s="17"/>
      <c r="G637" s="17"/>
      <c r="H637" s="15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40"/>
      <c r="T637" s="17"/>
      <c r="U637" s="17"/>
      <c r="V637" s="15"/>
      <c r="W637" s="92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/>
    </row>
    <row r="638" spans="1:53" ht="14.25" x14ac:dyDescent="0.2">
      <c r="A638" s="13"/>
      <c r="B638" s="14"/>
      <c r="C638" s="15"/>
      <c r="D638" s="15"/>
      <c r="E638" s="91"/>
      <c r="F638" s="17"/>
      <c r="G638" s="17"/>
      <c r="H638" s="15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40"/>
      <c r="T638" s="17"/>
      <c r="U638" s="17"/>
      <c r="V638" s="15"/>
      <c r="W638" s="92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  <c r="AZ638" s="15"/>
      <c r="BA638" s="15"/>
    </row>
    <row r="639" spans="1:53" ht="14.25" x14ac:dyDescent="0.2">
      <c r="A639" s="13"/>
      <c r="B639" s="14"/>
      <c r="C639" s="15"/>
      <c r="D639" s="15"/>
      <c r="E639" s="91"/>
      <c r="F639" s="17"/>
      <c r="G639" s="17"/>
      <c r="H639" s="15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40"/>
      <c r="T639" s="17"/>
      <c r="U639" s="17"/>
      <c r="V639" s="15"/>
      <c r="W639" s="92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  <c r="BA639" s="15"/>
    </row>
    <row r="640" spans="1:53" ht="14.25" x14ac:dyDescent="0.2">
      <c r="A640" s="13"/>
      <c r="B640" s="14"/>
      <c r="C640" s="15"/>
      <c r="D640" s="15"/>
      <c r="E640" s="91"/>
      <c r="F640" s="17"/>
      <c r="G640" s="17"/>
      <c r="H640" s="15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40"/>
      <c r="T640" s="17"/>
      <c r="U640" s="17"/>
      <c r="V640" s="15"/>
      <c r="W640" s="92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  <c r="AX640" s="15"/>
      <c r="AY640" s="15"/>
      <c r="AZ640" s="15"/>
      <c r="BA640" s="15"/>
    </row>
    <row r="641" spans="1:53" ht="14.25" x14ac:dyDescent="0.2">
      <c r="A641" s="13"/>
      <c r="B641" s="14"/>
      <c r="C641" s="15"/>
      <c r="D641" s="15"/>
      <c r="E641" s="91"/>
      <c r="F641" s="17"/>
      <c r="G641" s="17"/>
      <c r="H641" s="15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40"/>
      <c r="T641" s="17"/>
      <c r="U641" s="17"/>
      <c r="V641" s="15"/>
      <c r="W641" s="92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  <c r="BA641" s="15"/>
    </row>
    <row r="642" spans="1:53" ht="14.25" x14ac:dyDescent="0.2">
      <c r="A642" s="13"/>
      <c r="B642" s="14"/>
      <c r="C642" s="15"/>
      <c r="D642" s="15"/>
      <c r="E642" s="91"/>
      <c r="F642" s="17"/>
      <c r="G642" s="17"/>
      <c r="H642" s="15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40"/>
      <c r="T642" s="17"/>
      <c r="U642" s="17"/>
      <c r="V642" s="15"/>
      <c r="W642" s="92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  <c r="AX642" s="15"/>
      <c r="AY642" s="15"/>
      <c r="AZ642" s="15"/>
      <c r="BA642" s="15"/>
    </row>
    <row r="643" spans="1:53" ht="14.25" x14ac:dyDescent="0.2">
      <c r="A643" s="13"/>
      <c r="B643" s="14"/>
      <c r="C643" s="15"/>
      <c r="D643" s="15"/>
      <c r="E643" s="91"/>
      <c r="F643" s="17"/>
      <c r="G643" s="17"/>
      <c r="H643" s="15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40"/>
      <c r="T643" s="17"/>
      <c r="U643" s="17"/>
      <c r="V643" s="15"/>
      <c r="W643" s="92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  <c r="BA643" s="15"/>
    </row>
    <row r="644" spans="1:53" ht="14.25" x14ac:dyDescent="0.2">
      <c r="A644" s="13"/>
      <c r="B644" s="14"/>
      <c r="C644" s="15"/>
      <c r="D644" s="15"/>
      <c r="E644" s="91"/>
      <c r="F644" s="17"/>
      <c r="G644" s="17"/>
      <c r="H644" s="15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40"/>
      <c r="T644" s="17"/>
      <c r="U644" s="17"/>
      <c r="V644" s="15"/>
      <c r="W644" s="92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  <c r="BA644" s="15"/>
    </row>
    <row r="645" spans="1:53" ht="14.25" x14ac:dyDescent="0.2">
      <c r="A645" s="13"/>
      <c r="B645" s="14"/>
      <c r="C645" s="15"/>
      <c r="D645" s="15"/>
      <c r="E645" s="91"/>
      <c r="F645" s="17"/>
      <c r="G645" s="17"/>
      <c r="H645" s="15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40"/>
      <c r="T645" s="17"/>
      <c r="U645" s="17"/>
      <c r="V645" s="15"/>
      <c r="W645" s="92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  <c r="BA645" s="15"/>
    </row>
    <row r="646" spans="1:53" ht="14.25" x14ac:dyDescent="0.2">
      <c r="A646" s="13"/>
      <c r="B646" s="14"/>
      <c r="C646" s="15"/>
      <c r="D646" s="15"/>
      <c r="E646" s="91"/>
      <c r="F646" s="17"/>
      <c r="G646" s="17"/>
      <c r="H646" s="15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40"/>
      <c r="T646" s="17"/>
      <c r="U646" s="17"/>
      <c r="V646" s="15"/>
      <c r="W646" s="92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  <c r="AZ646" s="15"/>
      <c r="BA646" s="15"/>
    </row>
    <row r="647" spans="1:53" ht="14.25" x14ac:dyDescent="0.2">
      <c r="A647" s="13"/>
      <c r="B647" s="14"/>
      <c r="C647" s="15"/>
      <c r="D647" s="15"/>
      <c r="E647" s="91"/>
      <c r="F647" s="17"/>
      <c r="G647" s="17"/>
      <c r="H647" s="15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40"/>
      <c r="T647" s="17"/>
      <c r="U647" s="17"/>
      <c r="V647" s="15"/>
      <c r="W647" s="92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  <c r="AZ647" s="15"/>
      <c r="BA647" s="15"/>
    </row>
    <row r="648" spans="1:53" ht="14.25" x14ac:dyDescent="0.2">
      <c r="A648" s="13"/>
      <c r="B648" s="14"/>
      <c r="C648" s="15"/>
      <c r="D648" s="15"/>
      <c r="E648" s="91"/>
      <c r="F648" s="17"/>
      <c r="G648" s="17"/>
      <c r="H648" s="15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40"/>
      <c r="T648" s="17"/>
      <c r="U648" s="17"/>
      <c r="V648" s="15"/>
      <c r="W648" s="92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  <c r="AX648" s="15"/>
      <c r="AY648" s="15"/>
      <c r="AZ648" s="15"/>
      <c r="BA648" s="15"/>
    </row>
    <row r="649" spans="1:53" ht="14.25" x14ac:dyDescent="0.2">
      <c r="A649" s="13"/>
      <c r="B649" s="14"/>
      <c r="C649" s="15"/>
      <c r="D649" s="15"/>
      <c r="E649" s="91"/>
      <c r="F649" s="17"/>
      <c r="G649" s="17"/>
      <c r="H649" s="15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40"/>
      <c r="T649" s="17"/>
      <c r="U649" s="17"/>
      <c r="V649" s="15"/>
      <c r="W649" s="92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  <c r="BA649" s="15"/>
    </row>
    <row r="650" spans="1:53" ht="14.25" x14ac:dyDescent="0.2">
      <c r="A650" s="13"/>
      <c r="B650" s="14"/>
      <c r="C650" s="15"/>
      <c r="D650" s="15"/>
      <c r="E650" s="91"/>
      <c r="F650" s="17"/>
      <c r="G650" s="17"/>
      <c r="H650" s="15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40"/>
      <c r="T650" s="17"/>
      <c r="U650" s="17"/>
      <c r="V650" s="15"/>
      <c r="W650" s="92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  <c r="AX650" s="15"/>
      <c r="AY650" s="15"/>
      <c r="AZ650" s="15"/>
      <c r="BA650" s="15"/>
    </row>
    <row r="651" spans="1:53" ht="14.25" x14ac:dyDescent="0.2">
      <c r="A651" s="13"/>
      <c r="B651" s="14"/>
      <c r="C651" s="15"/>
      <c r="D651" s="15"/>
      <c r="E651" s="91"/>
      <c r="F651" s="17"/>
      <c r="G651" s="17"/>
      <c r="H651" s="15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40"/>
      <c r="T651" s="17"/>
      <c r="U651" s="17"/>
      <c r="V651" s="15"/>
      <c r="W651" s="92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  <c r="AX651" s="15"/>
      <c r="AY651" s="15"/>
      <c r="AZ651" s="15"/>
      <c r="BA651" s="15"/>
    </row>
    <row r="652" spans="1:53" ht="14.25" x14ac:dyDescent="0.2">
      <c r="A652" s="13"/>
      <c r="B652" s="14"/>
      <c r="C652" s="15"/>
      <c r="D652" s="15"/>
      <c r="E652" s="91"/>
      <c r="F652" s="17"/>
      <c r="G652" s="17"/>
      <c r="H652" s="15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40"/>
      <c r="T652" s="17"/>
      <c r="U652" s="17"/>
      <c r="V652" s="15"/>
      <c r="W652" s="92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  <c r="AV652" s="15"/>
      <c r="AW652" s="15"/>
      <c r="AX652" s="15"/>
      <c r="AY652" s="15"/>
      <c r="AZ652" s="15"/>
      <c r="BA652" s="15"/>
    </row>
    <row r="653" spans="1:53" ht="14.25" x14ac:dyDescent="0.2">
      <c r="A653" s="13"/>
      <c r="B653" s="14"/>
      <c r="C653" s="15"/>
      <c r="D653" s="15"/>
      <c r="E653" s="91"/>
      <c r="F653" s="17"/>
      <c r="G653" s="17"/>
      <c r="H653" s="15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40"/>
      <c r="T653" s="17"/>
      <c r="U653" s="17"/>
      <c r="V653" s="15"/>
      <c r="W653" s="92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  <c r="BA653" s="15"/>
    </row>
    <row r="654" spans="1:53" ht="14.25" x14ac:dyDescent="0.2">
      <c r="A654" s="13"/>
      <c r="B654" s="14"/>
      <c r="C654" s="15"/>
      <c r="D654" s="15"/>
      <c r="E654" s="91"/>
      <c r="F654" s="17"/>
      <c r="G654" s="17"/>
      <c r="H654" s="15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40"/>
      <c r="T654" s="17"/>
      <c r="U654" s="17"/>
      <c r="V654" s="15"/>
      <c r="W654" s="92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  <c r="AX654" s="15"/>
      <c r="AY654" s="15"/>
      <c r="AZ654" s="15"/>
      <c r="BA654" s="15"/>
    </row>
    <row r="655" spans="1:53" ht="14.25" x14ac:dyDescent="0.2">
      <c r="A655" s="13"/>
      <c r="B655" s="14"/>
      <c r="C655" s="15"/>
      <c r="D655" s="15"/>
      <c r="E655" s="91"/>
      <c r="F655" s="17"/>
      <c r="G655" s="17"/>
      <c r="H655" s="15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40"/>
      <c r="T655" s="17"/>
      <c r="U655" s="17"/>
      <c r="V655" s="15"/>
      <c r="W655" s="92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  <c r="AX655" s="15"/>
      <c r="AY655" s="15"/>
      <c r="AZ655" s="15"/>
      <c r="BA655" s="15"/>
    </row>
    <row r="656" spans="1:53" ht="14.25" x14ac:dyDescent="0.2">
      <c r="A656" s="13"/>
      <c r="B656" s="14"/>
      <c r="C656" s="15"/>
      <c r="D656" s="15"/>
      <c r="E656" s="91"/>
      <c r="F656" s="17"/>
      <c r="G656" s="17"/>
      <c r="H656" s="15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40"/>
      <c r="T656" s="17"/>
      <c r="U656" s="17"/>
      <c r="V656" s="15"/>
      <c r="W656" s="92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  <c r="AX656" s="15"/>
      <c r="AY656" s="15"/>
      <c r="AZ656" s="15"/>
      <c r="BA656" s="15"/>
    </row>
    <row r="657" spans="1:53" ht="14.25" x14ac:dyDescent="0.2">
      <c r="A657" s="13"/>
      <c r="B657" s="14"/>
      <c r="C657" s="15"/>
      <c r="D657" s="15"/>
      <c r="E657" s="91"/>
      <c r="F657" s="17"/>
      <c r="G657" s="17"/>
      <c r="H657" s="15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40"/>
      <c r="T657" s="17"/>
      <c r="U657" s="17"/>
      <c r="V657" s="15"/>
      <c r="W657" s="92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  <c r="AX657" s="15"/>
      <c r="AY657" s="15"/>
      <c r="AZ657" s="15"/>
      <c r="BA657" s="15"/>
    </row>
    <row r="658" spans="1:53" ht="14.25" x14ac:dyDescent="0.2">
      <c r="A658" s="13"/>
      <c r="B658" s="14"/>
      <c r="C658" s="15"/>
      <c r="D658" s="15"/>
      <c r="E658" s="91"/>
      <c r="F658" s="17"/>
      <c r="G658" s="17"/>
      <c r="H658" s="15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40"/>
      <c r="T658" s="17"/>
      <c r="U658" s="17"/>
      <c r="V658" s="15"/>
      <c r="W658" s="92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  <c r="AX658" s="15"/>
      <c r="AY658" s="15"/>
      <c r="AZ658" s="15"/>
      <c r="BA658" s="15"/>
    </row>
    <row r="659" spans="1:53" ht="14.25" x14ac:dyDescent="0.2">
      <c r="A659" s="13"/>
      <c r="B659" s="14"/>
      <c r="C659" s="15"/>
      <c r="D659" s="15"/>
      <c r="E659" s="91"/>
      <c r="F659" s="17"/>
      <c r="G659" s="17"/>
      <c r="H659" s="15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40"/>
      <c r="T659" s="17"/>
      <c r="U659" s="17"/>
      <c r="V659" s="15"/>
      <c r="W659" s="92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  <c r="AZ659" s="15"/>
      <c r="BA659" s="15"/>
    </row>
    <row r="660" spans="1:53" ht="14.25" x14ac:dyDescent="0.2">
      <c r="A660" s="13"/>
      <c r="B660" s="14"/>
      <c r="C660" s="15"/>
      <c r="D660" s="15"/>
      <c r="E660" s="91"/>
      <c r="F660" s="17"/>
      <c r="G660" s="17"/>
      <c r="H660" s="15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40"/>
      <c r="T660" s="17"/>
      <c r="U660" s="17"/>
      <c r="V660" s="15"/>
      <c r="W660" s="92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  <c r="AX660" s="15"/>
      <c r="AY660" s="15"/>
      <c r="AZ660" s="15"/>
      <c r="BA660" s="15"/>
    </row>
    <row r="661" spans="1:53" ht="14.25" x14ac:dyDescent="0.2">
      <c r="A661" s="13"/>
      <c r="B661" s="14"/>
      <c r="C661" s="15"/>
      <c r="D661" s="15"/>
      <c r="E661" s="91"/>
      <c r="F661" s="17"/>
      <c r="G661" s="17"/>
      <c r="H661" s="15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40"/>
      <c r="T661" s="17"/>
      <c r="U661" s="17"/>
      <c r="V661" s="15"/>
      <c r="W661" s="92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  <c r="AX661" s="15"/>
      <c r="AY661" s="15"/>
      <c r="AZ661" s="15"/>
      <c r="BA661" s="15"/>
    </row>
    <row r="662" spans="1:53" ht="14.25" x14ac:dyDescent="0.2">
      <c r="A662" s="13"/>
      <c r="B662" s="14"/>
      <c r="C662" s="15"/>
      <c r="D662" s="15"/>
      <c r="E662" s="91"/>
      <c r="F662" s="17"/>
      <c r="G662" s="17"/>
      <c r="H662" s="15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40"/>
      <c r="T662" s="17"/>
      <c r="U662" s="17"/>
      <c r="V662" s="15"/>
      <c r="W662" s="92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  <c r="AX662" s="15"/>
      <c r="AY662" s="15"/>
      <c r="AZ662" s="15"/>
      <c r="BA662" s="15"/>
    </row>
    <row r="663" spans="1:53" ht="14.25" x14ac:dyDescent="0.2">
      <c r="A663" s="13"/>
      <c r="B663" s="14"/>
      <c r="C663" s="15"/>
      <c r="D663" s="15"/>
      <c r="E663" s="91"/>
      <c r="F663" s="17"/>
      <c r="G663" s="17"/>
      <c r="H663" s="15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40"/>
      <c r="T663" s="17"/>
      <c r="U663" s="17"/>
      <c r="V663" s="15"/>
      <c r="W663" s="92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  <c r="AX663" s="15"/>
      <c r="AY663" s="15"/>
      <c r="AZ663" s="15"/>
      <c r="BA663" s="15"/>
    </row>
    <row r="664" spans="1:53" ht="14.25" x14ac:dyDescent="0.2">
      <c r="A664" s="13"/>
      <c r="B664" s="14"/>
      <c r="C664" s="15"/>
      <c r="D664" s="15"/>
      <c r="E664" s="91"/>
      <c r="F664" s="17"/>
      <c r="G664" s="17"/>
      <c r="H664" s="15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40"/>
      <c r="T664" s="17"/>
      <c r="U664" s="17"/>
      <c r="V664" s="15"/>
      <c r="W664" s="92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  <c r="AX664" s="15"/>
      <c r="AY664" s="15"/>
      <c r="AZ664" s="15"/>
      <c r="BA664" s="15"/>
    </row>
    <row r="665" spans="1:53" ht="14.25" x14ac:dyDescent="0.2">
      <c r="A665" s="13"/>
      <c r="B665" s="14"/>
      <c r="C665" s="15"/>
      <c r="D665" s="15"/>
      <c r="E665" s="91"/>
      <c r="F665" s="17"/>
      <c r="G665" s="17"/>
      <c r="H665" s="15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40"/>
      <c r="T665" s="17"/>
      <c r="U665" s="17"/>
      <c r="V665" s="15"/>
      <c r="W665" s="92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  <c r="BA665" s="15"/>
    </row>
    <row r="666" spans="1:53" ht="14.25" x14ac:dyDescent="0.2">
      <c r="A666" s="13"/>
      <c r="B666" s="14"/>
      <c r="C666" s="15"/>
      <c r="D666" s="15"/>
      <c r="E666" s="91"/>
      <c r="F666" s="17"/>
      <c r="G666" s="17"/>
      <c r="H666" s="15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40"/>
      <c r="T666" s="17"/>
      <c r="U666" s="17"/>
      <c r="V666" s="15"/>
      <c r="W666" s="92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  <c r="AX666" s="15"/>
      <c r="AY666" s="15"/>
      <c r="AZ666" s="15"/>
      <c r="BA666" s="15"/>
    </row>
    <row r="667" spans="1:53" ht="14.25" x14ac:dyDescent="0.2">
      <c r="A667" s="13"/>
      <c r="B667" s="14"/>
      <c r="C667" s="15"/>
      <c r="D667" s="15"/>
      <c r="E667" s="91"/>
      <c r="F667" s="17"/>
      <c r="G667" s="17"/>
      <c r="H667" s="15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40"/>
      <c r="T667" s="17"/>
      <c r="U667" s="17"/>
      <c r="V667" s="15"/>
      <c r="W667" s="92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  <c r="BA667" s="15"/>
    </row>
    <row r="668" spans="1:53" ht="14.25" x14ac:dyDescent="0.2">
      <c r="A668" s="13"/>
      <c r="B668" s="14"/>
      <c r="C668" s="15"/>
      <c r="D668" s="15"/>
      <c r="E668" s="91"/>
      <c r="F668" s="17"/>
      <c r="G668" s="17"/>
      <c r="H668" s="15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40"/>
      <c r="T668" s="17"/>
      <c r="U668" s="17"/>
      <c r="V668" s="15"/>
      <c r="W668" s="92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  <c r="AX668" s="15"/>
      <c r="AY668" s="15"/>
      <c r="AZ668" s="15"/>
      <c r="BA668" s="15"/>
    </row>
    <row r="669" spans="1:53" ht="14.25" x14ac:dyDescent="0.2">
      <c r="A669" s="13"/>
      <c r="B669" s="14"/>
      <c r="C669" s="15"/>
      <c r="D669" s="15"/>
      <c r="E669" s="91"/>
      <c r="F669" s="17"/>
      <c r="G669" s="17"/>
      <c r="H669" s="15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40"/>
      <c r="T669" s="17"/>
      <c r="U669" s="17"/>
      <c r="V669" s="15"/>
      <c r="W669" s="92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  <c r="BA669" s="15"/>
    </row>
    <row r="670" spans="1:53" ht="14.25" x14ac:dyDescent="0.2">
      <c r="A670" s="13"/>
      <c r="B670" s="14"/>
      <c r="C670" s="15"/>
      <c r="D670" s="15"/>
      <c r="E670" s="91"/>
      <c r="F670" s="17"/>
      <c r="G670" s="17"/>
      <c r="H670" s="15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40"/>
      <c r="T670" s="17"/>
      <c r="U670" s="17"/>
      <c r="V670" s="15"/>
      <c r="W670" s="92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  <c r="AX670" s="15"/>
      <c r="AY670" s="15"/>
      <c r="AZ670" s="15"/>
      <c r="BA670" s="15"/>
    </row>
    <row r="671" spans="1:53" ht="14.25" x14ac:dyDescent="0.2">
      <c r="A671" s="13"/>
      <c r="B671" s="14"/>
      <c r="C671" s="15"/>
      <c r="D671" s="15"/>
      <c r="E671" s="91"/>
      <c r="F671" s="17"/>
      <c r="G671" s="17"/>
      <c r="H671" s="15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40"/>
      <c r="T671" s="17"/>
      <c r="U671" s="17"/>
      <c r="V671" s="15"/>
      <c r="W671" s="92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  <c r="AX671" s="15"/>
      <c r="AY671" s="15"/>
      <c r="AZ671" s="15"/>
      <c r="BA671" s="15"/>
    </row>
    <row r="672" spans="1:53" ht="14.25" x14ac:dyDescent="0.2">
      <c r="A672" s="13"/>
      <c r="B672" s="14"/>
      <c r="C672" s="15"/>
      <c r="D672" s="15"/>
      <c r="E672" s="91"/>
      <c r="F672" s="17"/>
      <c r="G672" s="17"/>
      <c r="H672" s="15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40"/>
      <c r="T672" s="17"/>
      <c r="U672" s="17"/>
      <c r="V672" s="15"/>
      <c r="W672" s="92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  <c r="AX672" s="15"/>
      <c r="AY672" s="15"/>
      <c r="AZ672" s="15"/>
      <c r="BA672" s="15"/>
    </row>
    <row r="673" spans="1:53" ht="14.25" x14ac:dyDescent="0.2">
      <c r="A673" s="13"/>
      <c r="B673" s="14"/>
      <c r="C673" s="15"/>
      <c r="D673" s="15"/>
      <c r="E673" s="91"/>
      <c r="F673" s="17"/>
      <c r="G673" s="17"/>
      <c r="H673" s="15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40"/>
      <c r="T673" s="17"/>
      <c r="U673" s="17"/>
      <c r="V673" s="15"/>
      <c r="W673" s="92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  <c r="BA673" s="15"/>
    </row>
    <row r="674" spans="1:53" ht="14.25" x14ac:dyDescent="0.2">
      <c r="A674" s="13"/>
      <c r="B674" s="14"/>
      <c r="C674" s="15"/>
      <c r="D674" s="15"/>
      <c r="E674" s="91"/>
      <c r="F674" s="17"/>
      <c r="G674" s="17"/>
      <c r="H674" s="15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40"/>
      <c r="T674" s="17"/>
      <c r="U674" s="17"/>
      <c r="V674" s="15"/>
      <c r="W674" s="92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  <c r="AX674" s="15"/>
      <c r="AY674" s="15"/>
      <c r="AZ674" s="15"/>
      <c r="BA674" s="15"/>
    </row>
    <row r="675" spans="1:53" ht="14.25" x14ac:dyDescent="0.2">
      <c r="A675" s="13"/>
      <c r="B675" s="14"/>
      <c r="C675" s="15"/>
      <c r="D675" s="15"/>
      <c r="E675" s="91"/>
      <c r="F675" s="17"/>
      <c r="G675" s="17"/>
      <c r="H675" s="15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40"/>
      <c r="T675" s="17"/>
      <c r="U675" s="17"/>
      <c r="V675" s="15"/>
      <c r="W675" s="92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  <c r="AX675" s="15"/>
      <c r="AY675" s="15"/>
      <c r="AZ675" s="15"/>
      <c r="BA675" s="15"/>
    </row>
    <row r="676" spans="1:53" ht="14.25" x14ac:dyDescent="0.2">
      <c r="A676" s="13"/>
      <c r="B676" s="14"/>
      <c r="C676" s="15"/>
      <c r="D676" s="15"/>
      <c r="E676" s="91"/>
      <c r="F676" s="17"/>
      <c r="G676" s="17"/>
      <c r="H676" s="15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40"/>
      <c r="T676" s="17"/>
      <c r="U676" s="17"/>
      <c r="V676" s="15"/>
      <c r="W676" s="92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  <c r="BA676" s="15"/>
    </row>
    <row r="677" spans="1:53" ht="14.25" x14ac:dyDescent="0.2">
      <c r="A677" s="13"/>
      <c r="B677" s="14"/>
      <c r="C677" s="15"/>
      <c r="D677" s="15"/>
      <c r="E677" s="91"/>
      <c r="F677" s="17"/>
      <c r="G677" s="17"/>
      <c r="H677" s="15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40"/>
      <c r="T677" s="17"/>
      <c r="U677" s="17"/>
      <c r="V677" s="15"/>
      <c r="W677" s="92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</row>
    <row r="678" spans="1:53" ht="14.25" x14ac:dyDescent="0.2">
      <c r="A678" s="13"/>
      <c r="B678" s="14"/>
      <c r="C678" s="15"/>
      <c r="D678" s="15"/>
      <c r="E678" s="91"/>
      <c r="F678" s="17"/>
      <c r="G678" s="17"/>
      <c r="H678" s="15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40"/>
      <c r="T678" s="17"/>
      <c r="U678" s="17"/>
      <c r="V678" s="15"/>
      <c r="W678" s="92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  <c r="BA678" s="15"/>
    </row>
    <row r="679" spans="1:53" ht="14.25" x14ac:dyDescent="0.2">
      <c r="A679" s="13"/>
      <c r="B679" s="14"/>
      <c r="C679" s="15"/>
      <c r="D679" s="15"/>
      <c r="E679" s="91"/>
      <c r="F679" s="17"/>
      <c r="G679" s="17"/>
      <c r="H679" s="15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40"/>
      <c r="T679" s="17"/>
      <c r="U679" s="17"/>
      <c r="V679" s="15"/>
      <c r="W679" s="92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  <c r="BA679" s="15"/>
    </row>
    <row r="680" spans="1:53" ht="14.25" x14ac:dyDescent="0.2">
      <c r="A680" s="13"/>
      <c r="B680" s="14"/>
      <c r="C680" s="15"/>
      <c r="D680" s="15"/>
      <c r="E680" s="91"/>
      <c r="F680" s="17"/>
      <c r="G680" s="17"/>
      <c r="H680" s="15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40"/>
      <c r="T680" s="17"/>
      <c r="U680" s="17"/>
      <c r="V680" s="15"/>
      <c r="W680" s="92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  <c r="AV680" s="15"/>
      <c r="AW680" s="15"/>
      <c r="AX680" s="15"/>
      <c r="AY680" s="15"/>
      <c r="AZ680" s="15"/>
      <c r="BA680" s="15"/>
    </row>
    <row r="681" spans="1:53" ht="14.25" x14ac:dyDescent="0.2">
      <c r="A681" s="13"/>
      <c r="B681" s="14"/>
      <c r="C681" s="15"/>
      <c r="D681" s="15"/>
      <c r="E681" s="91"/>
      <c r="F681" s="17"/>
      <c r="G681" s="17"/>
      <c r="H681" s="15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40"/>
      <c r="T681" s="17"/>
      <c r="U681" s="17"/>
      <c r="V681" s="15"/>
      <c r="W681" s="92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  <c r="BA681" s="15"/>
    </row>
    <row r="682" spans="1:53" ht="14.25" x14ac:dyDescent="0.2">
      <c r="A682" s="13"/>
      <c r="B682" s="14"/>
      <c r="C682" s="15"/>
      <c r="D682" s="15"/>
      <c r="E682" s="91"/>
      <c r="F682" s="17"/>
      <c r="G682" s="17"/>
      <c r="H682" s="15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40"/>
      <c r="T682" s="17"/>
      <c r="U682" s="17"/>
      <c r="V682" s="15"/>
      <c r="W682" s="92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  <c r="AZ682" s="15"/>
      <c r="BA682" s="15"/>
    </row>
    <row r="683" spans="1:53" ht="14.25" x14ac:dyDescent="0.2">
      <c r="A683" s="13"/>
      <c r="B683" s="14"/>
      <c r="C683" s="15"/>
      <c r="D683" s="15"/>
      <c r="E683" s="91"/>
      <c r="F683" s="17"/>
      <c r="G683" s="17"/>
      <c r="H683" s="15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40"/>
      <c r="T683" s="17"/>
      <c r="U683" s="17"/>
      <c r="V683" s="15"/>
      <c r="W683" s="92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  <c r="BA683" s="15"/>
    </row>
    <row r="684" spans="1:53" ht="14.25" x14ac:dyDescent="0.2">
      <c r="A684" s="13"/>
      <c r="B684" s="14"/>
      <c r="C684" s="15"/>
      <c r="D684" s="15"/>
      <c r="E684" s="91"/>
      <c r="F684" s="17"/>
      <c r="G684" s="17"/>
      <c r="H684" s="15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40"/>
      <c r="T684" s="17"/>
      <c r="U684" s="17"/>
      <c r="V684" s="15"/>
      <c r="W684" s="92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  <c r="AX684" s="15"/>
      <c r="AY684" s="15"/>
      <c r="AZ684" s="15"/>
      <c r="BA684" s="15"/>
    </row>
    <row r="685" spans="1:53" ht="14.25" x14ac:dyDescent="0.2">
      <c r="A685" s="13"/>
      <c r="B685" s="14"/>
      <c r="C685" s="15"/>
      <c r="D685" s="15"/>
      <c r="E685" s="91"/>
      <c r="F685" s="17"/>
      <c r="G685" s="17"/>
      <c r="H685" s="15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40"/>
      <c r="T685" s="17"/>
      <c r="U685" s="17"/>
      <c r="V685" s="15"/>
      <c r="W685" s="92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  <c r="BA685" s="15"/>
    </row>
    <row r="686" spans="1:53" ht="14.25" x14ac:dyDescent="0.2">
      <c r="A686" s="13"/>
      <c r="B686" s="14"/>
      <c r="C686" s="15"/>
      <c r="D686" s="15"/>
      <c r="E686" s="91"/>
      <c r="F686" s="17"/>
      <c r="G686" s="17"/>
      <c r="H686" s="15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40"/>
      <c r="T686" s="17"/>
      <c r="U686" s="17"/>
      <c r="V686" s="15"/>
      <c r="W686" s="92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  <c r="AX686" s="15"/>
      <c r="AY686" s="15"/>
      <c r="AZ686" s="15"/>
      <c r="BA686" s="15"/>
    </row>
    <row r="687" spans="1:53" ht="14.25" x14ac:dyDescent="0.2">
      <c r="A687" s="13"/>
      <c r="B687" s="14"/>
      <c r="C687" s="15"/>
      <c r="D687" s="15"/>
      <c r="E687" s="91"/>
      <c r="F687" s="17"/>
      <c r="G687" s="17"/>
      <c r="H687" s="15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40"/>
      <c r="T687" s="17"/>
      <c r="U687" s="17"/>
      <c r="V687" s="15"/>
      <c r="W687" s="92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</row>
    <row r="688" spans="1:53" ht="14.25" x14ac:dyDescent="0.2">
      <c r="A688" s="13"/>
      <c r="B688" s="14"/>
      <c r="C688" s="15"/>
      <c r="D688" s="15"/>
      <c r="E688" s="91"/>
      <c r="F688" s="17"/>
      <c r="G688" s="17"/>
      <c r="H688" s="15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40"/>
      <c r="T688" s="17"/>
      <c r="U688" s="17"/>
      <c r="V688" s="15"/>
      <c r="W688" s="92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  <c r="AX688" s="15"/>
      <c r="AY688" s="15"/>
      <c r="AZ688" s="15"/>
      <c r="BA688" s="15"/>
    </row>
    <row r="689" spans="1:53" ht="14.25" x14ac:dyDescent="0.2">
      <c r="A689" s="13"/>
      <c r="B689" s="14"/>
      <c r="C689" s="15"/>
      <c r="D689" s="15"/>
      <c r="E689" s="91"/>
      <c r="F689" s="17"/>
      <c r="G689" s="17"/>
      <c r="H689" s="15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40"/>
      <c r="T689" s="17"/>
      <c r="U689" s="17"/>
      <c r="V689" s="15"/>
      <c r="W689" s="92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  <c r="BA689" s="15"/>
    </row>
    <row r="690" spans="1:53" ht="14.25" x14ac:dyDescent="0.2">
      <c r="A690" s="13"/>
      <c r="B690" s="14"/>
      <c r="C690" s="15"/>
      <c r="D690" s="15"/>
      <c r="E690" s="91"/>
      <c r="F690" s="17"/>
      <c r="G690" s="17"/>
      <c r="H690" s="15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40"/>
      <c r="T690" s="17"/>
      <c r="U690" s="17"/>
      <c r="V690" s="15"/>
      <c r="W690" s="92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  <c r="AX690" s="15"/>
      <c r="AY690" s="15"/>
      <c r="AZ690" s="15"/>
      <c r="BA690" s="15"/>
    </row>
    <row r="691" spans="1:53" ht="14.25" x14ac:dyDescent="0.2">
      <c r="A691" s="13"/>
      <c r="B691" s="14"/>
      <c r="C691" s="15"/>
      <c r="D691" s="15"/>
      <c r="E691" s="91"/>
      <c r="F691" s="17"/>
      <c r="G691" s="17"/>
      <c r="H691" s="15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40"/>
      <c r="T691" s="17"/>
      <c r="U691" s="17"/>
      <c r="V691" s="15"/>
      <c r="W691" s="92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  <c r="BA691" s="15"/>
    </row>
    <row r="692" spans="1:53" ht="14.25" x14ac:dyDescent="0.2">
      <c r="A692" s="13"/>
      <c r="B692" s="14"/>
      <c r="C692" s="15"/>
      <c r="D692" s="15"/>
      <c r="E692" s="91"/>
      <c r="F692" s="17"/>
      <c r="G692" s="17"/>
      <c r="H692" s="15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40"/>
      <c r="T692" s="17"/>
      <c r="U692" s="17"/>
      <c r="V692" s="15"/>
      <c r="W692" s="92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  <c r="AX692" s="15"/>
      <c r="AY692" s="15"/>
      <c r="AZ692" s="15"/>
      <c r="BA692" s="15"/>
    </row>
    <row r="693" spans="1:53" ht="14.25" x14ac:dyDescent="0.2">
      <c r="A693" s="13"/>
      <c r="B693" s="14"/>
      <c r="C693" s="15"/>
      <c r="D693" s="15"/>
      <c r="E693" s="91"/>
      <c r="F693" s="17"/>
      <c r="G693" s="17"/>
      <c r="H693" s="15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40"/>
      <c r="T693" s="17"/>
      <c r="U693" s="17"/>
      <c r="V693" s="15"/>
      <c r="W693" s="92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  <c r="BA693" s="15"/>
    </row>
    <row r="694" spans="1:53" ht="14.25" x14ac:dyDescent="0.2">
      <c r="A694" s="13"/>
      <c r="B694" s="14"/>
      <c r="C694" s="15"/>
      <c r="D694" s="15"/>
      <c r="E694" s="91"/>
      <c r="F694" s="17"/>
      <c r="G694" s="17"/>
      <c r="H694" s="15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40"/>
      <c r="T694" s="17"/>
      <c r="U694" s="17"/>
      <c r="V694" s="15"/>
      <c r="W694" s="92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5"/>
      <c r="AX694" s="15"/>
      <c r="AY694" s="15"/>
      <c r="AZ694" s="15"/>
      <c r="BA694" s="15"/>
    </row>
    <row r="695" spans="1:53" ht="14.25" x14ac:dyDescent="0.2">
      <c r="A695" s="13"/>
      <c r="B695" s="14"/>
      <c r="C695" s="15"/>
      <c r="D695" s="15"/>
      <c r="E695" s="91"/>
      <c r="F695" s="17"/>
      <c r="G695" s="17"/>
      <c r="H695" s="15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40"/>
      <c r="T695" s="17"/>
      <c r="U695" s="17"/>
      <c r="V695" s="15"/>
      <c r="W695" s="92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</row>
    <row r="696" spans="1:53" ht="14.25" x14ac:dyDescent="0.2">
      <c r="A696" s="13"/>
      <c r="B696" s="14"/>
      <c r="C696" s="15"/>
      <c r="D696" s="15"/>
      <c r="E696" s="91"/>
      <c r="F696" s="17"/>
      <c r="G696" s="17"/>
      <c r="H696" s="15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40"/>
      <c r="T696" s="17"/>
      <c r="U696" s="17"/>
      <c r="V696" s="15"/>
      <c r="W696" s="92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  <c r="AV696" s="15"/>
      <c r="AW696" s="15"/>
      <c r="AX696" s="15"/>
      <c r="AY696" s="15"/>
      <c r="AZ696" s="15"/>
      <c r="BA696" s="15"/>
    </row>
    <row r="697" spans="1:53" ht="14.25" x14ac:dyDescent="0.2">
      <c r="A697" s="13"/>
      <c r="B697" s="14"/>
      <c r="C697" s="15"/>
      <c r="D697" s="15"/>
      <c r="E697" s="91"/>
      <c r="F697" s="17"/>
      <c r="G697" s="17"/>
      <c r="H697" s="15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40"/>
      <c r="T697" s="17"/>
      <c r="U697" s="17"/>
      <c r="V697" s="15"/>
      <c r="W697" s="92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  <c r="BA697" s="15"/>
    </row>
    <row r="698" spans="1:53" ht="14.25" x14ac:dyDescent="0.2">
      <c r="A698" s="13"/>
      <c r="B698" s="14"/>
      <c r="C698" s="15"/>
      <c r="D698" s="15"/>
      <c r="E698" s="91"/>
      <c r="F698" s="17"/>
      <c r="G698" s="17"/>
      <c r="H698" s="15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40"/>
      <c r="T698" s="17"/>
      <c r="U698" s="17"/>
      <c r="V698" s="15"/>
      <c r="W698" s="92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  <c r="AX698" s="15"/>
      <c r="AY698" s="15"/>
      <c r="AZ698" s="15"/>
      <c r="BA698" s="15"/>
    </row>
    <row r="699" spans="1:53" ht="14.25" x14ac:dyDescent="0.2">
      <c r="A699" s="13"/>
      <c r="B699" s="14"/>
      <c r="C699" s="15"/>
      <c r="D699" s="15"/>
      <c r="E699" s="91"/>
      <c r="F699" s="17"/>
      <c r="G699" s="17"/>
      <c r="H699" s="15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40"/>
      <c r="T699" s="17"/>
      <c r="U699" s="17"/>
      <c r="V699" s="15"/>
      <c r="W699" s="92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  <c r="BA699" s="15"/>
    </row>
    <row r="700" spans="1:53" ht="14.25" x14ac:dyDescent="0.2">
      <c r="A700" s="13"/>
      <c r="B700" s="14"/>
      <c r="C700" s="15"/>
      <c r="D700" s="15"/>
      <c r="E700" s="91"/>
      <c r="F700" s="17"/>
      <c r="G700" s="17"/>
      <c r="H700" s="15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40"/>
      <c r="T700" s="17"/>
      <c r="U700" s="17"/>
      <c r="V700" s="15"/>
      <c r="W700" s="92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5"/>
      <c r="AV700" s="15"/>
      <c r="AW700" s="15"/>
      <c r="AX700" s="15"/>
      <c r="AY700" s="15"/>
      <c r="AZ700" s="15"/>
      <c r="BA700" s="15"/>
    </row>
    <row r="701" spans="1:53" ht="14.25" x14ac:dyDescent="0.2">
      <c r="A701" s="13"/>
      <c r="B701" s="14"/>
      <c r="C701" s="15"/>
      <c r="D701" s="15"/>
      <c r="E701" s="91"/>
      <c r="F701" s="17"/>
      <c r="G701" s="17"/>
      <c r="H701" s="15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40"/>
      <c r="T701" s="17"/>
      <c r="U701" s="17"/>
      <c r="V701" s="15"/>
      <c r="W701" s="92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  <c r="BA701" s="15"/>
    </row>
    <row r="702" spans="1:53" ht="14.25" x14ac:dyDescent="0.2">
      <c r="A702" s="13"/>
      <c r="B702" s="14"/>
      <c r="C702" s="15"/>
      <c r="D702" s="15"/>
      <c r="E702" s="91"/>
      <c r="F702" s="17"/>
      <c r="G702" s="17"/>
      <c r="H702" s="15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40"/>
      <c r="T702" s="17"/>
      <c r="U702" s="17"/>
      <c r="V702" s="15"/>
      <c r="W702" s="92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15"/>
      <c r="AV702" s="15"/>
      <c r="AW702" s="15"/>
      <c r="AX702" s="15"/>
      <c r="AY702" s="15"/>
      <c r="AZ702" s="15"/>
      <c r="BA702" s="15"/>
    </row>
    <row r="703" spans="1:53" ht="14.25" x14ac:dyDescent="0.2">
      <c r="A703" s="13"/>
      <c r="B703" s="14"/>
      <c r="C703" s="15"/>
      <c r="D703" s="15"/>
      <c r="E703" s="91"/>
      <c r="F703" s="17"/>
      <c r="G703" s="17"/>
      <c r="H703" s="15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40"/>
      <c r="T703" s="17"/>
      <c r="U703" s="17"/>
      <c r="V703" s="15"/>
      <c r="W703" s="92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  <c r="BA703" s="15"/>
    </row>
    <row r="704" spans="1:53" ht="14.25" x14ac:dyDescent="0.2">
      <c r="A704" s="13"/>
      <c r="B704" s="14"/>
      <c r="C704" s="15"/>
      <c r="D704" s="15"/>
      <c r="E704" s="91"/>
      <c r="F704" s="17"/>
      <c r="G704" s="17"/>
      <c r="H704" s="15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40"/>
      <c r="T704" s="17"/>
      <c r="U704" s="17"/>
      <c r="V704" s="15"/>
      <c r="W704" s="92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  <c r="AV704" s="15"/>
      <c r="AW704" s="15"/>
      <c r="AX704" s="15"/>
      <c r="AY704" s="15"/>
      <c r="AZ704" s="15"/>
      <c r="BA704" s="15"/>
    </row>
    <row r="705" spans="1:53" ht="14.25" x14ac:dyDescent="0.2">
      <c r="A705" s="13"/>
      <c r="B705" s="14"/>
      <c r="C705" s="15"/>
      <c r="D705" s="15"/>
      <c r="E705" s="91"/>
      <c r="F705" s="17"/>
      <c r="G705" s="17"/>
      <c r="H705" s="15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40"/>
      <c r="T705" s="17"/>
      <c r="U705" s="17"/>
      <c r="V705" s="15"/>
      <c r="W705" s="92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  <c r="BA705" s="15"/>
    </row>
    <row r="706" spans="1:53" ht="14.25" x14ac:dyDescent="0.2">
      <c r="A706" s="13"/>
      <c r="B706" s="14"/>
      <c r="C706" s="15"/>
      <c r="D706" s="15"/>
      <c r="E706" s="91"/>
      <c r="F706" s="17"/>
      <c r="G706" s="17"/>
      <c r="H706" s="15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40"/>
      <c r="T706" s="17"/>
      <c r="U706" s="17"/>
      <c r="V706" s="15"/>
      <c r="W706" s="92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  <c r="AX706" s="15"/>
      <c r="AY706" s="15"/>
      <c r="AZ706" s="15"/>
      <c r="BA706" s="15"/>
    </row>
    <row r="707" spans="1:53" ht="14.25" x14ac:dyDescent="0.2">
      <c r="A707" s="13"/>
      <c r="B707" s="14"/>
      <c r="C707" s="15"/>
      <c r="D707" s="15"/>
      <c r="E707" s="91"/>
      <c r="F707" s="17"/>
      <c r="G707" s="17"/>
      <c r="H707" s="15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40"/>
      <c r="T707" s="17"/>
      <c r="U707" s="17"/>
      <c r="V707" s="15"/>
      <c r="W707" s="92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</row>
    <row r="708" spans="1:53" ht="14.25" x14ac:dyDescent="0.2">
      <c r="A708" s="13"/>
      <c r="B708" s="14"/>
      <c r="C708" s="15"/>
      <c r="D708" s="15"/>
      <c r="E708" s="91"/>
      <c r="F708" s="17"/>
      <c r="G708" s="17"/>
      <c r="H708" s="15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40"/>
      <c r="T708" s="17"/>
      <c r="U708" s="17"/>
      <c r="V708" s="15"/>
      <c r="W708" s="92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  <c r="AX708" s="15"/>
      <c r="AY708" s="15"/>
      <c r="AZ708" s="15"/>
      <c r="BA708" s="15"/>
    </row>
    <row r="709" spans="1:53" ht="14.25" x14ac:dyDescent="0.2">
      <c r="A709" s="13"/>
      <c r="B709" s="14"/>
      <c r="C709" s="15"/>
      <c r="D709" s="15"/>
      <c r="E709" s="91"/>
      <c r="F709" s="17"/>
      <c r="G709" s="17"/>
      <c r="H709" s="15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40"/>
      <c r="T709" s="17"/>
      <c r="U709" s="17"/>
      <c r="V709" s="15"/>
      <c r="W709" s="92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  <c r="BA709" s="15"/>
    </row>
    <row r="710" spans="1:53" ht="14.25" x14ac:dyDescent="0.2">
      <c r="A710" s="13"/>
      <c r="B710" s="14"/>
      <c r="C710" s="15"/>
      <c r="D710" s="15"/>
      <c r="E710" s="91"/>
      <c r="F710" s="17"/>
      <c r="G710" s="17"/>
      <c r="H710" s="15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40"/>
      <c r="T710" s="17"/>
      <c r="U710" s="17"/>
      <c r="V710" s="15"/>
      <c r="W710" s="92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  <c r="AX710" s="15"/>
      <c r="AY710" s="15"/>
      <c r="AZ710" s="15"/>
      <c r="BA710" s="15"/>
    </row>
    <row r="711" spans="1:53" ht="14.25" x14ac:dyDescent="0.2">
      <c r="A711" s="13"/>
      <c r="B711" s="14"/>
      <c r="C711" s="15"/>
      <c r="D711" s="15"/>
      <c r="E711" s="91"/>
      <c r="F711" s="17"/>
      <c r="G711" s="17"/>
      <c r="H711" s="15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40"/>
      <c r="T711" s="17"/>
      <c r="U711" s="17"/>
      <c r="V711" s="15"/>
      <c r="W711" s="92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  <c r="BA711" s="15"/>
    </row>
    <row r="712" spans="1:53" ht="14.25" x14ac:dyDescent="0.2">
      <c r="A712" s="13"/>
      <c r="B712" s="14"/>
      <c r="C712" s="15"/>
      <c r="D712" s="15"/>
      <c r="E712" s="91"/>
      <c r="F712" s="17"/>
      <c r="G712" s="17"/>
      <c r="H712" s="15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40"/>
      <c r="T712" s="17"/>
      <c r="U712" s="17"/>
      <c r="V712" s="15"/>
      <c r="W712" s="92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  <c r="AX712" s="15"/>
      <c r="AY712" s="15"/>
      <c r="AZ712" s="15"/>
      <c r="BA712" s="15"/>
    </row>
    <row r="713" spans="1:53" ht="14.25" x14ac:dyDescent="0.2">
      <c r="A713" s="13"/>
      <c r="B713" s="14"/>
      <c r="C713" s="15"/>
      <c r="D713" s="15"/>
      <c r="E713" s="91"/>
      <c r="F713" s="17"/>
      <c r="G713" s="17"/>
      <c r="H713" s="15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40"/>
      <c r="T713" s="17"/>
      <c r="U713" s="17"/>
      <c r="V713" s="15"/>
      <c r="W713" s="92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  <c r="BA713" s="15"/>
    </row>
    <row r="714" spans="1:53" ht="14.25" x14ac:dyDescent="0.2">
      <c r="A714" s="13"/>
      <c r="B714" s="14"/>
      <c r="C714" s="15"/>
      <c r="D714" s="15"/>
      <c r="E714" s="91"/>
      <c r="F714" s="17"/>
      <c r="G714" s="17"/>
      <c r="H714" s="15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40"/>
      <c r="T714" s="17"/>
      <c r="U714" s="17"/>
      <c r="V714" s="15"/>
      <c r="W714" s="92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  <c r="AX714" s="15"/>
      <c r="AY714" s="15"/>
      <c r="AZ714" s="15"/>
      <c r="BA714" s="15"/>
    </row>
    <row r="715" spans="1:53" ht="14.25" x14ac:dyDescent="0.2">
      <c r="A715" s="13"/>
      <c r="B715" s="14"/>
      <c r="C715" s="15"/>
      <c r="D715" s="15"/>
      <c r="E715" s="91"/>
      <c r="F715" s="17"/>
      <c r="G715" s="17"/>
      <c r="H715" s="15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40"/>
      <c r="T715" s="17"/>
      <c r="U715" s="17"/>
      <c r="V715" s="15"/>
      <c r="W715" s="92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  <c r="BA715" s="15"/>
    </row>
    <row r="716" spans="1:53" ht="14.25" x14ac:dyDescent="0.2">
      <c r="A716" s="13"/>
      <c r="B716" s="14"/>
      <c r="C716" s="15"/>
      <c r="D716" s="15"/>
      <c r="E716" s="91"/>
      <c r="F716" s="17"/>
      <c r="G716" s="17"/>
      <c r="H716" s="15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40"/>
      <c r="T716" s="17"/>
      <c r="U716" s="17"/>
      <c r="V716" s="15"/>
      <c r="W716" s="92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  <c r="AV716" s="15"/>
      <c r="AW716" s="15"/>
      <c r="AX716" s="15"/>
      <c r="AY716" s="15"/>
      <c r="AZ716" s="15"/>
      <c r="BA716" s="15"/>
    </row>
    <row r="717" spans="1:53" ht="14.25" x14ac:dyDescent="0.2">
      <c r="A717" s="13"/>
      <c r="B717" s="14"/>
      <c r="C717" s="15"/>
      <c r="D717" s="15"/>
      <c r="E717" s="91"/>
      <c r="F717" s="17"/>
      <c r="G717" s="17"/>
      <c r="H717" s="15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40"/>
      <c r="T717" s="17"/>
      <c r="U717" s="17"/>
      <c r="V717" s="15"/>
      <c r="W717" s="92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  <c r="BA717" s="15"/>
    </row>
    <row r="718" spans="1:53" ht="14.25" x14ac:dyDescent="0.2">
      <c r="A718" s="13"/>
      <c r="B718" s="14"/>
      <c r="C718" s="15"/>
      <c r="D718" s="15"/>
      <c r="E718" s="91"/>
      <c r="F718" s="17"/>
      <c r="G718" s="17"/>
      <c r="H718" s="15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40"/>
      <c r="T718" s="17"/>
      <c r="U718" s="17"/>
      <c r="V718" s="15"/>
      <c r="W718" s="92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  <c r="AV718" s="15"/>
      <c r="AW718" s="15"/>
      <c r="AX718" s="15"/>
      <c r="AY718" s="15"/>
      <c r="AZ718" s="15"/>
      <c r="BA718" s="15"/>
    </row>
    <row r="719" spans="1:53" ht="14.25" x14ac:dyDescent="0.2">
      <c r="A719" s="13"/>
      <c r="B719" s="14"/>
      <c r="C719" s="15"/>
      <c r="D719" s="15"/>
      <c r="E719" s="91"/>
      <c r="F719" s="17"/>
      <c r="G719" s="17"/>
      <c r="H719" s="15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40"/>
      <c r="T719" s="17"/>
      <c r="U719" s="17"/>
      <c r="V719" s="15"/>
      <c r="W719" s="92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  <c r="BA719" s="15"/>
    </row>
    <row r="720" spans="1:53" ht="14.25" x14ac:dyDescent="0.2">
      <c r="A720" s="13"/>
      <c r="B720" s="14"/>
      <c r="C720" s="15"/>
      <c r="D720" s="15"/>
      <c r="E720" s="91"/>
      <c r="F720" s="17"/>
      <c r="G720" s="17"/>
      <c r="H720" s="15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40"/>
      <c r="T720" s="17"/>
      <c r="U720" s="17"/>
      <c r="V720" s="15"/>
      <c r="W720" s="92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  <c r="AV720" s="15"/>
      <c r="AW720" s="15"/>
      <c r="AX720" s="15"/>
      <c r="AY720" s="15"/>
      <c r="AZ720" s="15"/>
      <c r="BA720" s="15"/>
    </row>
    <row r="721" spans="1:53" ht="14.25" x14ac:dyDescent="0.2">
      <c r="A721" s="13"/>
      <c r="B721" s="14"/>
      <c r="C721" s="15"/>
      <c r="D721" s="15"/>
      <c r="E721" s="91"/>
      <c r="F721" s="17"/>
      <c r="G721" s="17"/>
      <c r="H721" s="15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40"/>
      <c r="T721" s="17"/>
      <c r="U721" s="17"/>
      <c r="V721" s="15"/>
      <c r="W721" s="92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</row>
    <row r="722" spans="1:53" ht="14.25" x14ac:dyDescent="0.2">
      <c r="A722" s="13"/>
      <c r="B722" s="14"/>
      <c r="C722" s="15"/>
      <c r="D722" s="15"/>
      <c r="E722" s="91"/>
      <c r="F722" s="17"/>
      <c r="G722" s="17"/>
      <c r="H722" s="15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40"/>
      <c r="T722" s="17"/>
      <c r="U722" s="17"/>
      <c r="V722" s="15"/>
      <c r="W722" s="92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  <c r="AV722" s="15"/>
      <c r="AW722" s="15"/>
      <c r="AX722" s="15"/>
      <c r="AY722" s="15"/>
      <c r="AZ722" s="15"/>
      <c r="BA722" s="15"/>
    </row>
    <row r="723" spans="1:53" ht="14.25" x14ac:dyDescent="0.2">
      <c r="A723" s="13"/>
      <c r="B723" s="14"/>
      <c r="C723" s="15"/>
      <c r="D723" s="15"/>
      <c r="E723" s="91"/>
      <c r="F723" s="17"/>
      <c r="G723" s="17"/>
      <c r="H723" s="15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40"/>
      <c r="T723" s="17"/>
      <c r="U723" s="17"/>
      <c r="V723" s="15"/>
      <c r="W723" s="92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  <c r="BA723" s="15"/>
    </row>
    <row r="724" spans="1:53" ht="14.25" x14ac:dyDescent="0.2">
      <c r="A724" s="13"/>
      <c r="B724" s="14"/>
      <c r="C724" s="15"/>
      <c r="D724" s="15"/>
      <c r="E724" s="91"/>
      <c r="F724" s="17"/>
      <c r="G724" s="17"/>
      <c r="H724" s="15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40"/>
      <c r="T724" s="17"/>
      <c r="U724" s="17"/>
      <c r="V724" s="15"/>
      <c r="W724" s="92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  <c r="AV724" s="15"/>
      <c r="AW724" s="15"/>
      <c r="AX724" s="15"/>
      <c r="AY724" s="15"/>
      <c r="AZ724" s="15"/>
      <c r="BA724" s="15"/>
    </row>
    <row r="725" spans="1:53" ht="14.25" x14ac:dyDescent="0.2">
      <c r="A725" s="13"/>
      <c r="B725" s="14"/>
      <c r="C725" s="15"/>
      <c r="D725" s="15"/>
      <c r="E725" s="91"/>
      <c r="F725" s="17"/>
      <c r="G725" s="17"/>
      <c r="H725" s="15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40"/>
      <c r="T725" s="17"/>
      <c r="U725" s="17"/>
      <c r="V725" s="15"/>
      <c r="W725" s="92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  <c r="BA725" s="15"/>
    </row>
    <row r="726" spans="1:53" ht="14.25" x14ac:dyDescent="0.2">
      <c r="A726" s="13"/>
      <c r="B726" s="14"/>
      <c r="C726" s="15"/>
      <c r="D726" s="15"/>
      <c r="E726" s="91"/>
      <c r="F726" s="17"/>
      <c r="G726" s="17"/>
      <c r="H726" s="15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40"/>
      <c r="T726" s="17"/>
      <c r="U726" s="17"/>
      <c r="V726" s="15"/>
      <c r="W726" s="92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15"/>
      <c r="AV726" s="15"/>
      <c r="AW726" s="15"/>
      <c r="AX726" s="15"/>
      <c r="AY726" s="15"/>
      <c r="AZ726" s="15"/>
      <c r="BA726" s="15"/>
    </row>
    <row r="727" spans="1:53" ht="14.25" x14ac:dyDescent="0.2">
      <c r="A727" s="13"/>
      <c r="B727" s="14"/>
      <c r="C727" s="15"/>
      <c r="D727" s="15"/>
      <c r="E727" s="91"/>
      <c r="F727" s="17"/>
      <c r="G727" s="17"/>
      <c r="H727" s="15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40"/>
      <c r="T727" s="17"/>
      <c r="U727" s="17"/>
      <c r="V727" s="15"/>
      <c r="W727" s="92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  <c r="BA727" s="15"/>
    </row>
    <row r="728" spans="1:53" ht="14.25" x14ac:dyDescent="0.2">
      <c r="A728" s="13"/>
      <c r="B728" s="14"/>
      <c r="C728" s="15"/>
      <c r="D728" s="15"/>
      <c r="E728" s="91"/>
      <c r="F728" s="17"/>
      <c r="G728" s="17"/>
      <c r="H728" s="15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40"/>
      <c r="T728" s="17"/>
      <c r="U728" s="17"/>
      <c r="V728" s="15"/>
      <c r="W728" s="92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  <c r="AT728" s="15"/>
      <c r="AU728" s="15"/>
      <c r="AV728" s="15"/>
      <c r="AW728" s="15"/>
      <c r="AX728" s="15"/>
      <c r="AY728" s="15"/>
      <c r="AZ728" s="15"/>
      <c r="BA728" s="15"/>
    </row>
    <row r="729" spans="1:53" ht="14.25" x14ac:dyDescent="0.2">
      <c r="A729" s="13"/>
      <c r="B729" s="14"/>
      <c r="C729" s="15"/>
      <c r="D729" s="15"/>
      <c r="E729" s="91"/>
      <c r="F729" s="17"/>
      <c r="G729" s="17"/>
      <c r="H729" s="15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40"/>
      <c r="T729" s="17"/>
      <c r="U729" s="17"/>
      <c r="V729" s="15"/>
      <c r="W729" s="92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  <c r="AZ729" s="15"/>
      <c r="BA729" s="15"/>
    </row>
    <row r="730" spans="1:53" ht="14.25" x14ac:dyDescent="0.2">
      <c r="A730" s="13"/>
      <c r="B730" s="14"/>
      <c r="C730" s="15"/>
      <c r="D730" s="15"/>
      <c r="E730" s="91"/>
      <c r="F730" s="17"/>
      <c r="G730" s="17"/>
      <c r="H730" s="15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40"/>
      <c r="T730" s="17"/>
      <c r="U730" s="17"/>
      <c r="V730" s="15"/>
      <c r="W730" s="92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15"/>
      <c r="AV730" s="15"/>
      <c r="AW730" s="15"/>
      <c r="AX730" s="15"/>
      <c r="AY730" s="15"/>
      <c r="AZ730" s="15"/>
      <c r="BA730" s="15"/>
    </row>
    <row r="731" spans="1:53" ht="14.25" x14ac:dyDescent="0.2">
      <c r="A731" s="13"/>
      <c r="B731" s="14"/>
      <c r="C731" s="15"/>
      <c r="D731" s="15"/>
      <c r="E731" s="91"/>
      <c r="F731" s="17"/>
      <c r="G731" s="17"/>
      <c r="H731" s="15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40"/>
      <c r="T731" s="17"/>
      <c r="U731" s="17"/>
      <c r="V731" s="15"/>
      <c r="W731" s="92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  <c r="BA731" s="15"/>
    </row>
    <row r="732" spans="1:53" ht="14.25" x14ac:dyDescent="0.2">
      <c r="A732" s="13"/>
      <c r="B732" s="14"/>
      <c r="C732" s="15"/>
      <c r="D732" s="15"/>
      <c r="E732" s="91"/>
      <c r="F732" s="17"/>
      <c r="G732" s="17"/>
      <c r="H732" s="15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40"/>
      <c r="T732" s="17"/>
      <c r="U732" s="17"/>
      <c r="V732" s="15"/>
      <c r="W732" s="92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  <c r="AV732" s="15"/>
      <c r="AW732" s="15"/>
      <c r="AX732" s="15"/>
      <c r="AY732" s="15"/>
      <c r="AZ732" s="15"/>
      <c r="BA732" s="15"/>
    </row>
    <row r="733" spans="1:53" ht="14.25" x14ac:dyDescent="0.2">
      <c r="A733" s="13"/>
      <c r="B733" s="14"/>
      <c r="C733" s="15"/>
      <c r="D733" s="15"/>
      <c r="E733" s="91"/>
      <c r="F733" s="17"/>
      <c r="G733" s="17"/>
      <c r="H733" s="15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40"/>
      <c r="T733" s="17"/>
      <c r="U733" s="17"/>
      <c r="V733" s="15"/>
      <c r="W733" s="92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  <c r="BA733" s="15"/>
    </row>
    <row r="734" spans="1:53" ht="14.25" x14ac:dyDescent="0.2">
      <c r="A734" s="13"/>
      <c r="B734" s="14"/>
      <c r="C734" s="15"/>
      <c r="D734" s="15"/>
      <c r="E734" s="91"/>
      <c r="F734" s="17"/>
      <c r="G734" s="17"/>
      <c r="H734" s="15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40"/>
      <c r="T734" s="17"/>
      <c r="U734" s="17"/>
      <c r="V734" s="15"/>
      <c r="W734" s="92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  <c r="AV734" s="15"/>
      <c r="AW734" s="15"/>
      <c r="AX734" s="15"/>
      <c r="AY734" s="15"/>
      <c r="AZ734" s="15"/>
      <c r="BA734" s="15"/>
    </row>
    <row r="735" spans="1:53" ht="14.25" x14ac:dyDescent="0.2">
      <c r="A735" s="13"/>
      <c r="B735" s="14"/>
      <c r="C735" s="15"/>
      <c r="D735" s="15"/>
      <c r="E735" s="91"/>
      <c r="F735" s="17"/>
      <c r="G735" s="17"/>
      <c r="H735" s="15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40"/>
      <c r="T735" s="17"/>
      <c r="U735" s="17"/>
      <c r="V735" s="15"/>
      <c r="W735" s="92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  <c r="AZ735" s="15"/>
      <c r="BA735" s="15"/>
    </row>
    <row r="736" spans="1:53" ht="14.25" x14ac:dyDescent="0.2">
      <c r="A736" s="13"/>
      <c r="B736" s="14"/>
      <c r="C736" s="15"/>
      <c r="D736" s="15"/>
      <c r="E736" s="91"/>
      <c r="F736" s="17"/>
      <c r="G736" s="17"/>
      <c r="H736" s="15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40"/>
      <c r="T736" s="17"/>
      <c r="U736" s="17"/>
      <c r="V736" s="15"/>
      <c r="W736" s="92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  <c r="AV736" s="15"/>
      <c r="AW736" s="15"/>
      <c r="AX736" s="15"/>
      <c r="AY736" s="15"/>
      <c r="AZ736" s="15"/>
      <c r="BA736" s="15"/>
    </row>
    <row r="737" spans="1:53" ht="14.25" x14ac:dyDescent="0.2">
      <c r="A737" s="13"/>
      <c r="B737" s="14"/>
      <c r="C737" s="15"/>
      <c r="D737" s="15"/>
      <c r="E737" s="91"/>
      <c r="F737" s="17"/>
      <c r="G737" s="17"/>
      <c r="H737" s="15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40"/>
      <c r="T737" s="17"/>
      <c r="U737" s="17"/>
      <c r="V737" s="15"/>
      <c r="W737" s="92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  <c r="AZ737" s="15"/>
      <c r="BA737" s="15"/>
    </row>
    <row r="738" spans="1:53" ht="14.25" x14ac:dyDescent="0.2">
      <c r="A738" s="13"/>
      <c r="B738" s="14"/>
      <c r="C738" s="15"/>
      <c r="D738" s="15"/>
      <c r="E738" s="91"/>
      <c r="F738" s="17"/>
      <c r="G738" s="17"/>
      <c r="H738" s="15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40"/>
      <c r="T738" s="17"/>
      <c r="U738" s="17"/>
      <c r="V738" s="15"/>
      <c r="W738" s="92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  <c r="AV738" s="15"/>
      <c r="AW738" s="15"/>
      <c r="AX738" s="15"/>
      <c r="AY738" s="15"/>
      <c r="AZ738" s="15"/>
      <c r="BA738" s="15"/>
    </row>
    <row r="739" spans="1:53" ht="14.25" x14ac:dyDescent="0.2">
      <c r="A739" s="13"/>
      <c r="B739" s="14"/>
      <c r="C739" s="15"/>
      <c r="D739" s="15"/>
      <c r="E739" s="91"/>
      <c r="F739" s="17"/>
      <c r="G739" s="17"/>
      <c r="H739" s="15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40"/>
      <c r="T739" s="17"/>
      <c r="U739" s="17"/>
      <c r="V739" s="15"/>
      <c r="W739" s="92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  <c r="AZ739" s="15"/>
      <c r="BA739" s="15"/>
    </row>
    <row r="740" spans="1:53" ht="14.25" x14ac:dyDescent="0.2">
      <c r="A740" s="13"/>
      <c r="B740" s="14"/>
      <c r="C740" s="15"/>
      <c r="D740" s="15"/>
      <c r="E740" s="91"/>
      <c r="F740" s="17"/>
      <c r="G740" s="17"/>
      <c r="H740" s="15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40"/>
      <c r="T740" s="17"/>
      <c r="U740" s="17"/>
      <c r="V740" s="15"/>
      <c r="W740" s="92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  <c r="AV740" s="15"/>
      <c r="AW740" s="15"/>
      <c r="AX740" s="15"/>
      <c r="AY740" s="15"/>
      <c r="AZ740" s="15"/>
      <c r="BA740" s="15"/>
    </row>
    <row r="741" spans="1:53" ht="14.25" x14ac:dyDescent="0.2">
      <c r="A741" s="13"/>
      <c r="B741" s="14"/>
      <c r="C741" s="15"/>
      <c r="D741" s="15"/>
      <c r="E741" s="91"/>
      <c r="F741" s="17"/>
      <c r="G741" s="17"/>
      <c r="H741" s="15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40"/>
      <c r="T741" s="17"/>
      <c r="U741" s="17"/>
      <c r="V741" s="15"/>
      <c r="W741" s="92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  <c r="BA741" s="15"/>
    </row>
    <row r="742" spans="1:53" ht="14.25" x14ac:dyDescent="0.2">
      <c r="A742" s="13"/>
      <c r="B742" s="14"/>
      <c r="C742" s="15"/>
      <c r="D742" s="15"/>
      <c r="E742" s="91"/>
      <c r="F742" s="17"/>
      <c r="G742" s="17"/>
      <c r="H742" s="15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40"/>
      <c r="T742" s="17"/>
      <c r="U742" s="17"/>
      <c r="V742" s="15"/>
      <c r="W742" s="92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  <c r="AV742" s="15"/>
      <c r="AW742" s="15"/>
      <c r="AX742" s="15"/>
      <c r="AY742" s="15"/>
      <c r="AZ742" s="15"/>
      <c r="BA742" s="15"/>
    </row>
    <row r="743" spans="1:53" ht="14.25" x14ac:dyDescent="0.2">
      <c r="A743" s="13"/>
      <c r="B743" s="14"/>
      <c r="C743" s="15"/>
      <c r="D743" s="15"/>
      <c r="E743" s="91"/>
      <c r="F743" s="17"/>
      <c r="G743" s="17"/>
      <c r="H743" s="15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40"/>
      <c r="T743" s="17"/>
      <c r="U743" s="17"/>
      <c r="V743" s="15"/>
      <c r="W743" s="92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  <c r="AW743" s="15"/>
      <c r="AX743" s="15"/>
      <c r="AY743" s="15"/>
      <c r="AZ743" s="15"/>
      <c r="BA743" s="15"/>
    </row>
    <row r="744" spans="1:53" ht="14.25" x14ac:dyDescent="0.2">
      <c r="A744" s="13"/>
      <c r="B744" s="14"/>
      <c r="C744" s="15"/>
      <c r="D744" s="15"/>
      <c r="E744" s="91"/>
      <c r="F744" s="17"/>
      <c r="G744" s="17"/>
      <c r="H744" s="15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40"/>
      <c r="T744" s="17"/>
      <c r="U744" s="17"/>
      <c r="V744" s="15"/>
      <c r="W744" s="92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  <c r="AU744" s="15"/>
      <c r="AV744" s="15"/>
      <c r="AW744" s="15"/>
      <c r="AX744" s="15"/>
      <c r="AY744" s="15"/>
      <c r="AZ744" s="15"/>
      <c r="BA744" s="15"/>
    </row>
    <row r="745" spans="1:53" ht="14.25" x14ac:dyDescent="0.2">
      <c r="A745" s="13"/>
      <c r="B745" s="14"/>
      <c r="C745" s="15"/>
      <c r="D745" s="15"/>
      <c r="E745" s="91"/>
      <c r="F745" s="17"/>
      <c r="G745" s="17"/>
      <c r="H745" s="15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40"/>
      <c r="T745" s="17"/>
      <c r="U745" s="17"/>
      <c r="V745" s="15"/>
      <c r="W745" s="92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  <c r="AX745" s="15"/>
      <c r="AY745" s="15"/>
      <c r="AZ745" s="15"/>
      <c r="BA745" s="15"/>
    </row>
    <row r="746" spans="1:53" ht="14.25" x14ac:dyDescent="0.2">
      <c r="A746" s="13"/>
      <c r="B746" s="14"/>
      <c r="C746" s="15"/>
      <c r="D746" s="15"/>
      <c r="E746" s="91"/>
      <c r="F746" s="17"/>
      <c r="G746" s="17"/>
      <c r="H746" s="15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40"/>
      <c r="T746" s="17"/>
      <c r="U746" s="17"/>
      <c r="V746" s="15"/>
      <c r="W746" s="92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  <c r="AV746" s="15"/>
      <c r="AW746" s="15"/>
      <c r="AX746" s="15"/>
      <c r="AY746" s="15"/>
      <c r="AZ746" s="15"/>
      <c r="BA746" s="15"/>
    </row>
    <row r="747" spans="1:53" ht="14.25" x14ac:dyDescent="0.2">
      <c r="A747" s="13"/>
      <c r="B747" s="14"/>
      <c r="C747" s="15"/>
      <c r="D747" s="15"/>
      <c r="E747" s="91"/>
      <c r="F747" s="17"/>
      <c r="G747" s="17"/>
      <c r="H747" s="15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40"/>
      <c r="T747" s="17"/>
      <c r="U747" s="17"/>
      <c r="V747" s="15"/>
      <c r="W747" s="92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  <c r="BA747" s="15"/>
    </row>
    <row r="748" spans="1:53" ht="14.25" x14ac:dyDescent="0.2">
      <c r="A748" s="13"/>
      <c r="B748" s="14"/>
      <c r="C748" s="15"/>
      <c r="D748" s="15"/>
      <c r="E748" s="91"/>
      <c r="F748" s="17"/>
      <c r="G748" s="17"/>
      <c r="H748" s="15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40"/>
      <c r="T748" s="17"/>
      <c r="U748" s="17"/>
      <c r="V748" s="15"/>
      <c r="W748" s="92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  <c r="AX748" s="15"/>
      <c r="AY748" s="15"/>
      <c r="AZ748" s="15"/>
      <c r="BA748" s="15"/>
    </row>
    <row r="749" spans="1:53" ht="14.25" x14ac:dyDescent="0.2">
      <c r="A749" s="13"/>
      <c r="B749" s="14"/>
      <c r="C749" s="15"/>
      <c r="D749" s="15"/>
      <c r="E749" s="91"/>
      <c r="F749" s="17"/>
      <c r="G749" s="17"/>
      <c r="H749" s="15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40"/>
      <c r="T749" s="17"/>
      <c r="U749" s="17"/>
      <c r="V749" s="15"/>
      <c r="W749" s="92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  <c r="BA749" s="15"/>
    </row>
    <row r="750" spans="1:53" ht="14.25" x14ac:dyDescent="0.2">
      <c r="A750" s="13"/>
      <c r="B750" s="14"/>
      <c r="C750" s="15"/>
      <c r="D750" s="15"/>
      <c r="E750" s="91"/>
      <c r="F750" s="17"/>
      <c r="G750" s="17"/>
      <c r="H750" s="15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40"/>
      <c r="T750" s="17"/>
      <c r="U750" s="17"/>
      <c r="V750" s="15"/>
      <c r="W750" s="92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  <c r="AV750" s="15"/>
      <c r="AW750" s="15"/>
      <c r="AX750" s="15"/>
      <c r="AY750" s="15"/>
      <c r="AZ750" s="15"/>
      <c r="BA750" s="15"/>
    </row>
    <row r="751" spans="1:53" ht="14.25" x14ac:dyDescent="0.2">
      <c r="A751" s="13"/>
      <c r="B751" s="14"/>
      <c r="C751" s="15"/>
      <c r="D751" s="15"/>
      <c r="E751" s="91"/>
      <c r="F751" s="17"/>
      <c r="G751" s="17"/>
      <c r="H751" s="15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40"/>
      <c r="T751" s="17"/>
      <c r="U751" s="17"/>
      <c r="V751" s="15"/>
      <c r="W751" s="92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  <c r="AX751" s="15"/>
      <c r="AY751" s="15"/>
      <c r="AZ751" s="15"/>
      <c r="BA751" s="15"/>
    </row>
    <row r="752" spans="1:53" ht="14.25" x14ac:dyDescent="0.2">
      <c r="A752" s="13"/>
      <c r="B752" s="14"/>
      <c r="C752" s="15"/>
      <c r="D752" s="15"/>
      <c r="E752" s="91"/>
      <c r="F752" s="17"/>
      <c r="G752" s="17"/>
      <c r="H752" s="15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40"/>
      <c r="T752" s="17"/>
      <c r="U752" s="17"/>
      <c r="V752" s="15"/>
      <c r="W752" s="92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  <c r="AX752" s="15"/>
      <c r="AY752" s="15"/>
      <c r="AZ752" s="15"/>
      <c r="BA752" s="15"/>
    </row>
    <row r="753" spans="1:53" ht="14.25" x14ac:dyDescent="0.2">
      <c r="A753" s="13"/>
      <c r="B753" s="14"/>
      <c r="C753" s="15"/>
      <c r="D753" s="15"/>
      <c r="E753" s="91"/>
      <c r="F753" s="17"/>
      <c r="G753" s="17"/>
      <c r="H753" s="15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40"/>
      <c r="T753" s="17"/>
      <c r="U753" s="17"/>
      <c r="V753" s="15"/>
      <c r="W753" s="92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  <c r="BA753" s="15"/>
    </row>
    <row r="754" spans="1:53" ht="14.25" x14ac:dyDescent="0.2">
      <c r="A754" s="13"/>
      <c r="B754" s="14"/>
      <c r="C754" s="15"/>
      <c r="D754" s="15"/>
      <c r="E754" s="91"/>
      <c r="F754" s="17"/>
      <c r="G754" s="17"/>
      <c r="H754" s="15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40"/>
      <c r="T754" s="17"/>
      <c r="U754" s="17"/>
      <c r="V754" s="15"/>
      <c r="W754" s="92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  <c r="AX754" s="15"/>
      <c r="AY754" s="15"/>
      <c r="AZ754" s="15"/>
      <c r="BA754" s="15"/>
    </row>
    <row r="755" spans="1:53" ht="14.25" x14ac:dyDescent="0.2">
      <c r="A755" s="13"/>
      <c r="B755" s="14"/>
      <c r="C755" s="15"/>
      <c r="D755" s="15"/>
      <c r="E755" s="91"/>
      <c r="F755" s="17"/>
      <c r="G755" s="17"/>
      <c r="H755" s="15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40"/>
      <c r="T755" s="17"/>
      <c r="U755" s="17"/>
      <c r="V755" s="15"/>
      <c r="W755" s="92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  <c r="AZ755" s="15"/>
      <c r="BA755" s="15"/>
    </row>
    <row r="756" spans="1:53" ht="14.25" x14ac:dyDescent="0.2">
      <c r="A756" s="13"/>
      <c r="B756" s="14"/>
      <c r="C756" s="15"/>
      <c r="D756" s="15"/>
      <c r="E756" s="91"/>
      <c r="F756" s="17"/>
      <c r="G756" s="17"/>
      <c r="H756" s="15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40"/>
      <c r="T756" s="17"/>
      <c r="U756" s="17"/>
      <c r="V756" s="15"/>
      <c r="W756" s="92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  <c r="AV756" s="15"/>
      <c r="AW756" s="15"/>
      <c r="AX756" s="15"/>
      <c r="AY756" s="15"/>
      <c r="AZ756" s="15"/>
      <c r="BA756" s="15"/>
    </row>
    <row r="757" spans="1:53" ht="14.25" x14ac:dyDescent="0.2">
      <c r="A757" s="13"/>
      <c r="B757" s="14"/>
      <c r="C757" s="15"/>
      <c r="D757" s="15"/>
      <c r="E757" s="91"/>
      <c r="F757" s="17"/>
      <c r="G757" s="17"/>
      <c r="H757" s="15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40"/>
      <c r="T757" s="17"/>
      <c r="U757" s="17"/>
      <c r="V757" s="15"/>
      <c r="W757" s="92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  <c r="AX757" s="15"/>
      <c r="AY757" s="15"/>
      <c r="AZ757" s="15"/>
      <c r="BA757" s="15"/>
    </row>
    <row r="758" spans="1:53" ht="14.25" x14ac:dyDescent="0.2">
      <c r="A758" s="13"/>
      <c r="B758" s="14"/>
      <c r="C758" s="15"/>
      <c r="D758" s="15"/>
      <c r="E758" s="91"/>
      <c r="F758" s="17"/>
      <c r="G758" s="17"/>
      <c r="H758" s="15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40"/>
      <c r="T758" s="17"/>
      <c r="U758" s="17"/>
      <c r="V758" s="15"/>
      <c r="W758" s="92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  <c r="AX758" s="15"/>
      <c r="AY758" s="15"/>
      <c r="AZ758" s="15"/>
      <c r="BA758" s="15"/>
    </row>
    <row r="759" spans="1:53" ht="14.25" x14ac:dyDescent="0.2">
      <c r="A759" s="13"/>
      <c r="B759" s="14"/>
      <c r="C759" s="15"/>
      <c r="D759" s="15"/>
      <c r="E759" s="91"/>
      <c r="F759" s="17"/>
      <c r="G759" s="17"/>
      <c r="H759" s="15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40"/>
      <c r="T759" s="17"/>
      <c r="U759" s="17"/>
      <c r="V759" s="15"/>
      <c r="W759" s="92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  <c r="AV759" s="15"/>
      <c r="AW759" s="15"/>
      <c r="AX759" s="15"/>
      <c r="AY759" s="15"/>
      <c r="AZ759" s="15"/>
      <c r="BA759" s="15"/>
    </row>
    <row r="760" spans="1:53" ht="14.25" x14ac:dyDescent="0.2">
      <c r="A760" s="13"/>
      <c r="B760" s="14"/>
      <c r="C760" s="15"/>
      <c r="D760" s="15"/>
      <c r="E760" s="91"/>
      <c r="F760" s="17"/>
      <c r="G760" s="17"/>
      <c r="H760" s="15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40"/>
      <c r="T760" s="17"/>
      <c r="U760" s="17"/>
      <c r="V760" s="15"/>
      <c r="W760" s="92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  <c r="AT760" s="15"/>
      <c r="AU760" s="15"/>
      <c r="AV760" s="15"/>
      <c r="AW760" s="15"/>
      <c r="AX760" s="15"/>
      <c r="AY760" s="15"/>
      <c r="AZ760" s="15"/>
      <c r="BA760" s="15"/>
    </row>
    <row r="761" spans="1:53" ht="14.25" x14ac:dyDescent="0.2">
      <c r="A761" s="13"/>
      <c r="B761" s="14"/>
      <c r="C761" s="15"/>
      <c r="D761" s="15"/>
      <c r="E761" s="91"/>
      <c r="F761" s="17"/>
      <c r="G761" s="17"/>
      <c r="H761" s="15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40"/>
      <c r="T761" s="17"/>
      <c r="U761" s="17"/>
      <c r="V761" s="15"/>
      <c r="W761" s="92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  <c r="AV761" s="15"/>
      <c r="AW761" s="15"/>
      <c r="AX761" s="15"/>
      <c r="AY761" s="15"/>
      <c r="AZ761" s="15"/>
      <c r="BA761" s="15"/>
    </row>
    <row r="762" spans="1:53" ht="14.25" x14ac:dyDescent="0.2">
      <c r="A762" s="13"/>
      <c r="B762" s="14"/>
      <c r="C762" s="15"/>
      <c r="D762" s="15"/>
      <c r="E762" s="91"/>
      <c r="F762" s="17"/>
      <c r="G762" s="17"/>
      <c r="H762" s="15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40"/>
      <c r="T762" s="17"/>
      <c r="U762" s="17"/>
      <c r="V762" s="15"/>
      <c r="W762" s="92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  <c r="AX762" s="15"/>
      <c r="AY762" s="15"/>
      <c r="AZ762" s="15"/>
      <c r="BA762" s="15"/>
    </row>
    <row r="763" spans="1:53" ht="14.25" x14ac:dyDescent="0.2">
      <c r="A763" s="13"/>
      <c r="B763" s="14"/>
      <c r="C763" s="15"/>
      <c r="D763" s="15"/>
      <c r="E763" s="91"/>
      <c r="F763" s="17"/>
      <c r="G763" s="17"/>
      <c r="H763" s="15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40"/>
      <c r="T763" s="17"/>
      <c r="U763" s="17"/>
      <c r="V763" s="15"/>
      <c r="W763" s="92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  <c r="AX763" s="15"/>
      <c r="AY763" s="15"/>
      <c r="AZ763" s="15"/>
      <c r="BA763" s="15"/>
    </row>
    <row r="764" spans="1:53" ht="14.25" x14ac:dyDescent="0.2">
      <c r="A764" s="13"/>
      <c r="B764" s="14"/>
      <c r="C764" s="15"/>
      <c r="D764" s="15"/>
      <c r="E764" s="91"/>
      <c r="F764" s="17"/>
      <c r="G764" s="17"/>
      <c r="H764" s="15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40"/>
      <c r="T764" s="17"/>
      <c r="U764" s="17"/>
      <c r="V764" s="15"/>
      <c r="W764" s="92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  <c r="AX764" s="15"/>
      <c r="AY764" s="15"/>
      <c r="AZ764" s="15"/>
      <c r="BA764" s="15"/>
    </row>
    <row r="765" spans="1:53" ht="14.25" x14ac:dyDescent="0.2">
      <c r="A765" s="13"/>
      <c r="B765" s="14"/>
      <c r="C765" s="15"/>
      <c r="D765" s="15"/>
      <c r="E765" s="91"/>
      <c r="F765" s="17"/>
      <c r="G765" s="17"/>
      <c r="H765" s="15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40"/>
      <c r="T765" s="17"/>
      <c r="U765" s="17"/>
      <c r="V765" s="15"/>
      <c r="W765" s="92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  <c r="AX765" s="15"/>
      <c r="AY765" s="15"/>
      <c r="AZ765" s="15"/>
      <c r="BA765" s="15"/>
    </row>
    <row r="766" spans="1:53" ht="14.25" x14ac:dyDescent="0.2">
      <c r="A766" s="13"/>
      <c r="B766" s="14"/>
      <c r="C766" s="15"/>
      <c r="D766" s="15"/>
      <c r="E766" s="91"/>
      <c r="F766" s="17"/>
      <c r="G766" s="17"/>
      <c r="H766" s="15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40"/>
      <c r="T766" s="17"/>
      <c r="U766" s="17"/>
      <c r="V766" s="15"/>
      <c r="W766" s="92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  <c r="AX766" s="15"/>
      <c r="AY766" s="15"/>
      <c r="AZ766" s="15"/>
      <c r="BA766" s="15"/>
    </row>
    <row r="767" spans="1:53" ht="14.25" x14ac:dyDescent="0.2">
      <c r="A767" s="13"/>
      <c r="B767" s="14"/>
      <c r="C767" s="15"/>
      <c r="D767" s="15"/>
      <c r="E767" s="91"/>
      <c r="F767" s="17"/>
      <c r="G767" s="17"/>
      <c r="H767" s="15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40"/>
      <c r="T767" s="17"/>
      <c r="U767" s="17"/>
      <c r="V767" s="15"/>
      <c r="W767" s="92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  <c r="AX767" s="15"/>
      <c r="AY767" s="15"/>
      <c r="AZ767" s="15"/>
      <c r="BA767" s="15"/>
    </row>
    <row r="768" spans="1:53" ht="14.25" x14ac:dyDescent="0.2">
      <c r="A768" s="13"/>
      <c r="B768" s="14"/>
      <c r="C768" s="15"/>
      <c r="D768" s="15"/>
      <c r="E768" s="91"/>
      <c r="F768" s="17"/>
      <c r="G768" s="17"/>
      <c r="H768" s="15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40"/>
      <c r="T768" s="17"/>
      <c r="U768" s="17"/>
      <c r="V768" s="15"/>
      <c r="W768" s="92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  <c r="AX768" s="15"/>
      <c r="AY768" s="15"/>
      <c r="AZ768" s="15"/>
      <c r="BA768" s="15"/>
    </row>
    <row r="769" spans="1:53" ht="14.25" x14ac:dyDescent="0.2">
      <c r="A769" s="13"/>
      <c r="B769" s="14"/>
      <c r="C769" s="15"/>
      <c r="D769" s="15"/>
      <c r="E769" s="91"/>
      <c r="F769" s="17"/>
      <c r="G769" s="17"/>
      <c r="H769" s="15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40"/>
      <c r="T769" s="17"/>
      <c r="U769" s="17"/>
      <c r="V769" s="15"/>
      <c r="W769" s="92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  <c r="AZ769" s="15"/>
      <c r="BA769" s="15"/>
    </row>
    <row r="770" spans="1:53" ht="14.25" x14ac:dyDescent="0.2">
      <c r="A770" s="13"/>
      <c r="B770" s="14"/>
      <c r="C770" s="15"/>
      <c r="D770" s="15"/>
      <c r="E770" s="91"/>
      <c r="F770" s="17"/>
      <c r="G770" s="17"/>
      <c r="H770" s="15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40"/>
      <c r="T770" s="17"/>
      <c r="U770" s="17"/>
      <c r="V770" s="15"/>
      <c r="W770" s="92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  <c r="AV770" s="15"/>
      <c r="AW770" s="15"/>
      <c r="AX770" s="15"/>
      <c r="AY770" s="15"/>
      <c r="AZ770" s="15"/>
      <c r="BA770" s="15"/>
    </row>
    <row r="771" spans="1:53" ht="14.25" x14ac:dyDescent="0.2">
      <c r="A771" s="13"/>
      <c r="B771" s="14"/>
      <c r="C771" s="15"/>
      <c r="D771" s="15"/>
      <c r="E771" s="91"/>
      <c r="F771" s="17"/>
      <c r="G771" s="17"/>
      <c r="H771" s="15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40"/>
      <c r="T771" s="17"/>
      <c r="U771" s="17"/>
      <c r="V771" s="15"/>
      <c r="W771" s="92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  <c r="AX771" s="15"/>
      <c r="AY771" s="15"/>
      <c r="AZ771" s="15"/>
      <c r="BA771" s="15"/>
    </row>
    <row r="772" spans="1:53" ht="14.25" x14ac:dyDescent="0.2">
      <c r="A772" s="13"/>
      <c r="B772" s="14"/>
      <c r="C772" s="15"/>
      <c r="D772" s="15"/>
      <c r="E772" s="91"/>
      <c r="F772" s="17"/>
      <c r="G772" s="17"/>
      <c r="H772" s="15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40"/>
      <c r="T772" s="17"/>
      <c r="U772" s="17"/>
      <c r="V772" s="15"/>
      <c r="W772" s="92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  <c r="AV772" s="15"/>
      <c r="AW772" s="15"/>
      <c r="AX772" s="15"/>
      <c r="AY772" s="15"/>
      <c r="AZ772" s="15"/>
      <c r="BA772" s="15"/>
    </row>
    <row r="773" spans="1:53" ht="14.25" x14ac:dyDescent="0.2">
      <c r="A773" s="13"/>
      <c r="B773" s="14"/>
      <c r="C773" s="15"/>
      <c r="D773" s="15"/>
      <c r="E773" s="91"/>
      <c r="F773" s="17"/>
      <c r="G773" s="17"/>
      <c r="H773" s="15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40"/>
      <c r="T773" s="17"/>
      <c r="U773" s="17"/>
      <c r="V773" s="15"/>
      <c r="W773" s="92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  <c r="AV773" s="15"/>
      <c r="AW773" s="15"/>
      <c r="AX773" s="15"/>
      <c r="AY773" s="15"/>
      <c r="AZ773" s="15"/>
      <c r="BA773" s="15"/>
    </row>
    <row r="774" spans="1:53" ht="14.25" x14ac:dyDescent="0.2">
      <c r="A774" s="13"/>
      <c r="B774" s="14"/>
      <c r="C774" s="15"/>
      <c r="D774" s="15"/>
      <c r="E774" s="91"/>
      <c r="F774" s="17"/>
      <c r="G774" s="17"/>
      <c r="H774" s="15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40"/>
      <c r="T774" s="17"/>
      <c r="U774" s="17"/>
      <c r="V774" s="15"/>
      <c r="W774" s="92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  <c r="AU774" s="15"/>
      <c r="AV774" s="15"/>
      <c r="AW774" s="15"/>
      <c r="AX774" s="15"/>
      <c r="AY774" s="15"/>
      <c r="AZ774" s="15"/>
      <c r="BA774" s="15"/>
    </row>
    <row r="775" spans="1:53" ht="14.25" x14ac:dyDescent="0.2">
      <c r="A775" s="13"/>
      <c r="B775" s="14"/>
      <c r="C775" s="15"/>
      <c r="D775" s="15"/>
      <c r="E775" s="91"/>
      <c r="F775" s="17"/>
      <c r="G775" s="17"/>
      <c r="H775" s="15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40"/>
      <c r="T775" s="17"/>
      <c r="U775" s="17"/>
      <c r="V775" s="15"/>
      <c r="W775" s="92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  <c r="AW775" s="15"/>
      <c r="AX775" s="15"/>
      <c r="AY775" s="15"/>
      <c r="AZ775" s="15"/>
      <c r="BA775" s="15"/>
    </row>
    <row r="776" spans="1:53" ht="14.25" x14ac:dyDescent="0.2">
      <c r="A776" s="13"/>
      <c r="B776" s="14"/>
      <c r="C776" s="15"/>
      <c r="D776" s="15"/>
      <c r="E776" s="91"/>
      <c r="F776" s="17"/>
      <c r="G776" s="17"/>
      <c r="H776" s="15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40"/>
      <c r="T776" s="17"/>
      <c r="U776" s="17"/>
      <c r="V776" s="15"/>
      <c r="W776" s="92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  <c r="AS776" s="15"/>
      <c r="AT776" s="15"/>
      <c r="AU776" s="15"/>
      <c r="AV776" s="15"/>
      <c r="AW776" s="15"/>
      <c r="AX776" s="15"/>
      <c r="AY776" s="15"/>
      <c r="AZ776" s="15"/>
      <c r="BA776" s="15"/>
    </row>
    <row r="777" spans="1:53" ht="14.25" x14ac:dyDescent="0.2">
      <c r="A777" s="13"/>
      <c r="B777" s="14"/>
      <c r="C777" s="15"/>
      <c r="D777" s="15"/>
      <c r="E777" s="91"/>
      <c r="F777" s="17"/>
      <c r="G777" s="17"/>
      <c r="H777" s="15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40"/>
      <c r="T777" s="17"/>
      <c r="U777" s="17"/>
      <c r="V777" s="15"/>
      <c r="W777" s="92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  <c r="AV777" s="15"/>
      <c r="AW777" s="15"/>
      <c r="AX777" s="15"/>
      <c r="AY777" s="15"/>
      <c r="AZ777" s="15"/>
      <c r="BA777" s="15"/>
    </row>
    <row r="778" spans="1:53" ht="14.25" x14ac:dyDescent="0.2">
      <c r="A778" s="13"/>
      <c r="B778" s="14"/>
      <c r="C778" s="15"/>
      <c r="D778" s="15"/>
      <c r="E778" s="91"/>
      <c r="F778" s="17"/>
      <c r="G778" s="17"/>
      <c r="H778" s="15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40"/>
      <c r="T778" s="17"/>
      <c r="U778" s="17"/>
      <c r="V778" s="15"/>
      <c r="W778" s="92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  <c r="AS778" s="15"/>
      <c r="AT778" s="15"/>
      <c r="AU778" s="15"/>
      <c r="AV778" s="15"/>
      <c r="AW778" s="15"/>
      <c r="AX778" s="15"/>
      <c r="AY778" s="15"/>
      <c r="AZ778" s="15"/>
      <c r="BA778" s="15"/>
    </row>
    <row r="779" spans="1:53" ht="14.25" x14ac:dyDescent="0.2">
      <c r="A779" s="13"/>
      <c r="B779" s="14"/>
      <c r="C779" s="15"/>
      <c r="D779" s="15"/>
      <c r="E779" s="91"/>
      <c r="F779" s="17"/>
      <c r="G779" s="17"/>
      <c r="H779" s="15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40"/>
      <c r="T779" s="17"/>
      <c r="U779" s="17"/>
      <c r="V779" s="15"/>
      <c r="W779" s="92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  <c r="AV779" s="15"/>
      <c r="AW779" s="15"/>
      <c r="AX779" s="15"/>
      <c r="AY779" s="15"/>
      <c r="AZ779" s="15"/>
      <c r="BA779" s="15"/>
    </row>
    <row r="780" spans="1:53" ht="14.25" x14ac:dyDescent="0.2">
      <c r="A780" s="13"/>
      <c r="B780" s="14"/>
      <c r="C780" s="15"/>
      <c r="D780" s="15"/>
      <c r="E780" s="91"/>
      <c r="F780" s="17"/>
      <c r="G780" s="17"/>
      <c r="H780" s="15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40"/>
      <c r="T780" s="17"/>
      <c r="U780" s="17"/>
      <c r="V780" s="15"/>
      <c r="W780" s="92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  <c r="AV780" s="15"/>
      <c r="AW780" s="15"/>
      <c r="AX780" s="15"/>
      <c r="AY780" s="15"/>
      <c r="AZ780" s="15"/>
      <c r="BA780" s="15"/>
    </row>
    <row r="781" spans="1:53" ht="14.25" x14ac:dyDescent="0.2">
      <c r="A781" s="13"/>
      <c r="B781" s="14"/>
      <c r="C781" s="15"/>
      <c r="D781" s="15"/>
      <c r="E781" s="91"/>
      <c r="F781" s="17"/>
      <c r="G781" s="17"/>
      <c r="H781" s="15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40"/>
      <c r="T781" s="17"/>
      <c r="U781" s="17"/>
      <c r="V781" s="15"/>
      <c r="W781" s="92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  <c r="AX781" s="15"/>
      <c r="AY781" s="15"/>
      <c r="AZ781" s="15"/>
      <c r="BA781" s="15"/>
    </row>
    <row r="782" spans="1:53" ht="14.25" x14ac:dyDescent="0.2">
      <c r="A782" s="13"/>
      <c r="B782" s="14"/>
      <c r="C782" s="15"/>
      <c r="D782" s="15"/>
      <c r="E782" s="91"/>
      <c r="F782" s="17"/>
      <c r="G782" s="17"/>
      <c r="H782" s="15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40"/>
      <c r="T782" s="17"/>
      <c r="U782" s="17"/>
      <c r="V782" s="15"/>
      <c r="W782" s="92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  <c r="AS782" s="15"/>
      <c r="AT782" s="15"/>
      <c r="AU782" s="15"/>
      <c r="AV782" s="15"/>
      <c r="AW782" s="15"/>
      <c r="AX782" s="15"/>
      <c r="AY782" s="15"/>
      <c r="AZ782" s="15"/>
      <c r="BA782" s="15"/>
    </row>
    <row r="783" spans="1:53" ht="14.25" x14ac:dyDescent="0.2">
      <c r="A783" s="13"/>
      <c r="B783" s="14"/>
      <c r="C783" s="15"/>
      <c r="D783" s="15"/>
      <c r="E783" s="91"/>
      <c r="F783" s="17"/>
      <c r="G783" s="17"/>
      <c r="H783" s="15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40"/>
      <c r="T783" s="17"/>
      <c r="U783" s="17"/>
      <c r="V783" s="15"/>
      <c r="W783" s="92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  <c r="AX783" s="15"/>
      <c r="AY783" s="15"/>
      <c r="AZ783" s="15"/>
      <c r="BA783" s="15"/>
    </row>
    <row r="784" spans="1:53" ht="14.25" x14ac:dyDescent="0.2">
      <c r="A784" s="13"/>
      <c r="B784" s="14"/>
      <c r="C784" s="15"/>
      <c r="D784" s="15"/>
      <c r="E784" s="91"/>
      <c r="F784" s="17"/>
      <c r="G784" s="17"/>
      <c r="H784" s="15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40"/>
      <c r="T784" s="17"/>
      <c r="U784" s="17"/>
      <c r="V784" s="15"/>
      <c r="W784" s="92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  <c r="AX784" s="15"/>
      <c r="AY784" s="15"/>
      <c r="AZ784" s="15"/>
      <c r="BA784" s="15"/>
    </row>
    <row r="785" spans="1:53" ht="14.25" x14ac:dyDescent="0.2">
      <c r="A785" s="13"/>
      <c r="B785" s="14"/>
      <c r="C785" s="15"/>
      <c r="D785" s="15"/>
      <c r="E785" s="91"/>
      <c r="F785" s="17"/>
      <c r="G785" s="17"/>
      <c r="H785" s="15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40"/>
      <c r="T785" s="17"/>
      <c r="U785" s="17"/>
      <c r="V785" s="15"/>
      <c r="W785" s="92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  <c r="AV785" s="15"/>
      <c r="AW785" s="15"/>
      <c r="AX785" s="15"/>
      <c r="AY785" s="15"/>
      <c r="AZ785" s="15"/>
      <c r="BA785" s="15"/>
    </row>
    <row r="786" spans="1:53" ht="14.25" x14ac:dyDescent="0.2">
      <c r="A786" s="13"/>
      <c r="B786" s="14"/>
      <c r="C786" s="15"/>
      <c r="D786" s="15"/>
      <c r="E786" s="91"/>
      <c r="F786" s="17"/>
      <c r="G786" s="17"/>
      <c r="H786" s="15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40"/>
      <c r="T786" s="17"/>
      <c r="U786" s="17"/>
      <c r="V786" s="15"/>
      <c r="W786" s="92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  <c r="AV786" s="15"/>
      <c r="AW786" s="15"/>
      <c r="AX786" s="15"/>
      <c r="AY786" s="15"/>
      <c r="AZ786" s="15"/>
      <c r="BA786" s="15"/>
    </row>
    <row r="787" spans="1:53" ht="14.25" x14ac:dyDescent="0.2">
      <c r="A787" s="13"/>
      <c r="B787" s="14"/>
      <c r="C787" s="15"/>
      <c r="D787" s="15"/>
      <c r="E787" s="91"/>
      <c r="F787" s="17"/>
      <c r="G787" s="17"/>
      <c r="H787" s="15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40"/>
      <c r="T787" s="17"/>
      <c r="U787" s="17"/>
      <c r="V787" s="15"/>
      <c r="W787" s="92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  <c r="AV787" s="15"/>
      <c r="AW787" s="15"/>
      <c r="AX787" s="15"/>
      <c r="AY787" s="15"/>
      <c r="AZ787" s="15"/>
      <c r="BA787" s="15"/>
    </row>
    <row r="788" spans="1:53" ht="14.25" x14ac:dyDescent="0.2">
      <c r="A788" s="13"/>
      <c r="B788" s="14"/>
      <c r="C788" s="15"/>
      <c r="D788" s="15"/>
      <c r="E788" s="91"/>
      <c r="F788" s="17"/>
      <c r="G788" s="17"/>
      <c r="H788" s="15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40"/>
      <c r="T788" s="17"/>
      <c r="U788" s="17"/>
      <c r="V788" s="15"/>
      <c r="W788" s="92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  <c r="AT788" s="15"/>
      <c r="AU788" s="15"/>
      <c r="AV788" s="15"/>
      <c r="AW788" s="15"/>
      <c r="AX788" s="15"/>
      <c r="AY788" s="15"/>
      <c r="AZ788" s="15"/>
      <c r="BA788" s="15"/>
    </row>
    <row r="789" spans="1:53" ht="14.25" x14ac:dyDescent="0.2">
      <c r="A789" s="13"/>
      <c r="B789" s="14"/>
      <c r="C789" s="15"/>
      <c r="D789" s="15"/>
      <c r="E789" s="91"/>
      <c r="F789" s="17"/>
      <c r="G789" s="17"/>
      <c r="H789" s="15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40"/>
      <c r="T789" s="17"/>
      <c r="U789" s="17"/>
      <c r="V789" s="15"/>
      <c r="W789" s="92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  <c r="AV789" s="15"/>
      <c r="AW789" s="15"/>
      <c r="AX789" s="15"/>
      <c r="AY789" s="15"/>
      <c r="AZ789" s="15"/>
      <c r="BA789" s="15"/>
    </row>
    <row r="790" spans="1:53" ht="14.25" x14ac:dyDescent="0.2">
      <c r="A790" s="13"/>
      <c r="B790" s="14"/>
      <c r="C790" s="15"/>
      <c r="D790" s="15"/>
      <c r="E790" s="91"/>
      <c r="F790" s="17"/>
      <c r="G790" s="17"/>
      <c r="H790" s="15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40"/>
      <c r="T790" s="17"/>
      <c r="U790" s="17"/>
      <c r="V790" s="15"/>
      <c r="W790" s="92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  <c r="AX790" s="15"/>
      <c r="AY790" s="15"/>
      <c r="AZ790" s="15"/>
      <c r="BA790" s="15"/>
    </row>
    <row r="791" spans="1:53" ht="14.25" x14ac:dyDescent="0.2">
      <c r="A791" s="13"/>
      <c r="B791" s="14"/>
      <c r="C791" s="15"/>
      <c r="D791" s="15"/>
      <c r="E791" s="91"/>
      <c r="F791" s="17"/>
      <c r="G791" s="17"/>
      <c r="H791" s="15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40"/>
      <c r="T791" s="17"/>
      <c r="U791" s="17"/>
      <c r="V791" s="15"/>
      <c r="W791" s="92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  <c r="AS791" s="15"/>
      <c r="AT791" s="15"/>
      <c r="AU791" s="15"/>
      <c r="AV791" s="15"/>
      <c r="AW791" s="15"/>
      <c r="AX791" s="15"/>
      <c r="AY791" s="15"/>
      <c r="AZ791" s="15"/>
      <c r="BA791" s="15"/>
    </row>
    <row r="792" spans="1:53" ht="14.25" x14ac:dyDescent="0.2">
      <c r="A792" s="13"/>
      <c r="B792" s="14"/>
      <c r="C792" s="15"/>
      <c r="D792" s="15"/>
      <c r="E792" s="91"/>
      <c r="F792" s="17"/>
      <c r="G792" s="17"/>
      <c r="H792" s="15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40"/>
      <c r="T792" s="17"/>
      <c r="U792" s="17"/>
      <c r="V792" s="15"/>
      <c r="W792" s="92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  <c r="AT792" s="15"/>
      <c r="AU792" s="15"/>
      <c r="AV792" s="15"/>
      <c r="AW792" s="15"/>
      <c r="AX792" s="15"/>
      <c r="AY792" s="15"/>
      <c r="AZ792" s="15"/>
      <c r="BA792" s="15"/>
    </row>
    <row r="793" spans="1:53" ht="14.25" x14ac:dyDescent="0.2">
      <c r="A793" s="13"/>
      <c r="B793" s="14"/>
      <c r="C793" s="15"/>
      <c r="D793" s="15"/>
      <c r="E793" s="91"/>
      <c r="F793" s="17"/>
      <c r="G793" s="17"/>
      <c r="H793" s="15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40"/>
      <c r="T793" s="17"/>
      <c r="U793" s="17"/>
      <c r="V793" s="15"/>
      <c r="W793" s="92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  <c r="AV793" s="15"/>
      <c r="AW793" s="15"/>
      <c r="AX793" s="15"/>
      <c r="AY793" s="15"/>
      <c r="AZ793" s="15"/>
      <c r="BA793" s="15"/>
    </row>
    <row r="794" spans="1:53" ht="14.25" x14ac:dyDescent="0.2">
      <c r="A794" s="13"/>
      <c r="B794" s="14"/>
      <c r="C794" s="15"/>
      <c r="D794" s="15"/>
      <c r="E794" s="91"/>
      <c r="F794" s="17"/>
      <c r="G794" s="17"/>
      <c r="H794" s="15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40"/>
      <c r="T794" s="17"/>
      <c r="U794" s="17"/>
      <c r="V794" s="15"/>
      <c r="W794" s="92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  <c r="AV794" s="15"/>
      <c r="AW794" s="15"/>
      <c r="AX794" s="15"/>
      <c r="AY794" s="15"/>
      <c r="AZ794" s="15"/>
      <c r="BA794" s="15"/>
    </row>
    <row r="795" spans="1:53" ht="14.25" x14ac:dyDescent="0.2">
      <c r="A795" s="13"/>
      <c r="B795" s="14"/>
      <c r="C795" s="15"/>
      <c r="D795" s="15"/>
      <c r="E795" s="91"/>
      <c r="F795" s="17"/>
      <c r="G795" s="17"/>
      <c r="H795" s="15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40"/>
      <c r="T795" s="17"/>
      <c r="U795" s="17"/>
      <c r="V795" s="15"/>
      <c r="W795" s="92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  <c r="AX795" s="15"/>
      <c r="AY795" s="15"/>
      <c r="AZ795" s="15"/>
      <c r="BA795" s="15"/>
    </row>
    <row r="796" spans="1:53" ht="14.25" x14ac:dyDescent="0.2">
      <c r="A796" s="13"/>
      <c r="B796" s="14"/>
      <c r="C796" s="15"/>
      <c r="D796" s="15"/>
      <c r="E796" s="91"/>
      <c r="F796" s="17"/>
      <c r="G796" s="17"/>
      <c r="H796" s="15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40"/>
      <c r="T796" s="17"/>
      <c r="U796" s="17"/>
      <c r="V796" s="15"/>
      <c r="W796" s="92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  <c r="AV796" s="15"/>
      <c r="AW796" s="15"/>
      <c r="AX796" s="15"/>
      <c r="AY796" s="15"/>
      <c r="AZ796" s="15"/>
      <c r="BA796" s="15"/>
    </row>
    <row r="797" spans="1:53" ht="14.25" x14ac:dyDescent="0.2">
      <c r="A797" s="13"/>
      <c r="B797" s="14"/>
      <c r="C797" s="15"/>
      <c r="D797" s="15"/>
      <c r="E797" s="91"/>
      <c r="F797" s="17"/>
      <c r="G797" s="17"/>
      <c r="H797" s="15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40"/>
      <c r="T797" s="17"/>
      <c r="U797" s="17"/>
      <c r="V797" s="15"/>
      <c r="W797" s="92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  <c r="AV797" s="15"/>
      <c r="AW797" s="15"/>
      <c r="AX797" s="15"/>
      <c r="AY797" s="15"/>
      <c r="AZ797" s="15"/>
      <c r="BA797" s="15"/>
    </row>
    <row r="798" spans="1:53" ht="14.25" x14ac:dyDescent="0.2">
      <c r="A798" s="13"/>
      <c r="B798" s="14"/>
      <c r="C798" s="15"/>
      <c r="D798" s="15"/>
      <c r="E798" s="91"/>
      <c r="F798" s="17"/>
      <c r="G798" s="17"/>
      <c r="H798" s="15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40"/>
      <c r="T798" s="17"/>
      <c r="U798" s="17"/>
      <c r="V798" s="15"/>
      <c r="W798" s="92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  <c r="AS798" s="15"/>
      <c r="AT798" s="15"/>
      <c r="AU798" s="15"/>
      <c r="AV798" s="15"/>
      <c r="AW798" s="15"/>
      <c r="AX798" s="15"/>
      <c r="AY798" s="15"/>
      <c r="AZ798" s="15"/>
      <c r="BA798" s="15"/>
    </row>
    <row r="799" spans="1:53" ht="14.25" x14ac:dyDescent="0.2">
      <c r="A799" s="13"/>
      <c r="B799" s="14"/>
      <c r="C799" s="15"/>
      <c r="D799" s="15"/>
      <c r="E799" s="91"/>
      <c r="F799" s="17"/>
      <c r="G799" s="17"/>
      <c r="H799" s="15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40"/>
      <c r="T799" s="17"/>
      <c r="U799" s="17"/>
      <c r="V799" s="15"/>
      <c r="W799" s="92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  <c r="AZ799" s="15"/>
      <c r="BA799" s="15"/>
    </row>
    <row r="800" spans="1:53" ht="14.25" x14ac:dyDescent="0.2">
      <c r="A800" s="13"/>
      <c r="B800" s="14"/>
      <c r="C800" s="15"/>
      <c r="D800" s="15"/>
      <c r="E800" s="91"/>
      <c r="F800" s="17"/>
      <c r="G800" s="17"/>
      <c r="H800" s="15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40"/>
      <c r="T800" s="17"/>
      <c r="U800" s="17"/>
      <c r="V800" s="15"/>
      <c r="W800" s="92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  <c r="AS800" s="15"/>
      <c r="AT800" s="15"/>
      <c r="AU800" s="15"/>
      <c r="AV800" s="15"/>
      <c r="AW800" s="15"/>
      <c r="AX800" s="15"/>
      <c r="AY800" s="15"/>
      <c r="AZ800" s="15"/>
      <c r="BA800" s="15"/>
    </row>
    <row r="801" spans="1:53" ht="14.25" x14ac:dyDescent="0.2">
      <c r="A801" s="13"/>
      <c r="B801" s="14"/>
      <c r="C801" s="15"/>
      <c r="D801" s="15"/>
      <c r="E801" s="91"/>
      <c r="F801" s="17"/>
      <c r="G801" s="17"/>
      <c r="H801" s="15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40"/>
      <c r="T801" s="17"/>
      <c r="U801" s="17"/>
      <c r="V801" s="15"/>
      <c r="W801" s="92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  <c r="AV801" s="15"/>
      <c r="AW801" s="15"/>
      <c r="AX801" s="15"/>
      <c r="AY801" s="15"/>
      <c r="AZ801" s="15"/>
      <c r="BA801" s="15"/>
    </row>
    <row r="802" spans="1:53" ht="14.25" x14ac:dyDescent="0.2">
      <c r="A802" s="13"/>
      <c r="B802" s="14"/>
      <c r="C802" s="15"/>
      <c r="D802" s="15"/>
      <c r="E802" s="91"/>
      <c r="F802" s="17"/>
      <c r="G802" s="17"/>
      <c r="H802" s="15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40"/>
      <c r="T802" s="17"/>
      <c r="U802" s="17"/>
      <c r="V802" s="15"/>
      <c r="W802" s="92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  <c r="AT802" s="15"/>
      <c r="AU802" s="15"/>
      <c r="AV802" s="15"/>
      <c r="AW802" s="15"/>
      <c r="AX802" s="15"/>
      <c r="AY802" s="15"/>
      <c r="AZ802" s="15"/>
      <c r="BA802" s="15"/>
    </row>
    <row r="803" spans="1:53" ht="14.25" x14ac:dyDescent="0.2">
      <c r="A803" s="13"/>
      <c r="B803" s="14"/>
      <c r="C803" s="15"/>
      <c r="D803" s="15"/>
      <c r="E803" s="91"/>
      <c r="F803" s="17"/>
      <c r="G803" s="17"/>
      <c r="H803" s="15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40"/>
      <c r="T803" s="17"/>
      <c r="U803" s="17"/>
      <c r="V803" s="15"/>
      <c r="W803" s="92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  <c r="AV803" s="15"/>
      <c r="AW803" s="15"/>
      <c r="AX803" s="15"/>
      <c r="AY803" s="15"/>
      <c r="AZ803" s="15"/>
      <c r="BA803" s="15"/>
    </row>
    <row r="804" spans="1:53" ht="14.25" x14ac:dyDescent="0.2">
      <c r="A804" s="13"/>
      <c r="B804" s="14"/>
      <c r="C804" s="15"/>
      <c r="D804" s="15"/>
      <c r="E804" s="91"/>
      <c r="F804" s="17"/>
      <c r="G804" s="17"/>
      <c r="H804" s="15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40"/>
      <c r="T804" s="17"/>
      <c r="U804" s="17"/>
      <c r="V804" s="15"/>
      <c r="W804" s="92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  <c r="AS804" s="15"/>
      <c r="AT804" s="15"/>
      <c r="AU804" s="15"/>
      <c r="AV804" s="15"/>
      <c r="AW804" s="15"/>
      <c r="AX804" s="15"/>
      <c r="AY804" s="15"/>
      <c r="AZ804" s="15"/>
      <c r="BA804" s="15"/>
    </row>
    <row r="805" spans="1:53" ht="14.25" x14ac:dyDescent="0.2">
      <c r="A805" s="13"/>
      <c r="B805" s="14"/>
      <c r="C805" s="15"/>
      <c r="D805" s="15"/>
      <c r="E805" s="91"/>
      <c r="F805" s="17"/>
      <c r="G805" s="17"/>
      <c r="H805" s="15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40"/>
      <c r="T805" s="17"/>
      <c r="U805" s="17"/>
      <c r="V805" s="15"/>
      <c r="W805" s="92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  <c r="AZ805" s="15"/>
      <c r="BA805" s="15"/>
    </row>
    <row r="806" spans="1:53" ht="14.25" x14ac:dyDescent="0.2">
      <c r="A806" s="13"/>
      <c r="B806" s="14"/>
      <c r="C806" s="15"/>
      <c r="D806" s="15"/>
      <c r="E806" s="91"/>
      <c r="F806" s="17"/>
      <c r="G806" s="17"/>
      <c r="H806" s="15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40"/>
      <c r="T806" s="17"/>
      <c r="U806" s="17"/>
      <c r="V806" s="15"/>
      <c r="W806" s="92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  <c r="AT806" s="15"/>
      <c r="AU806" s="15"/>
      <c r="AV806" s="15"/>
      <c r="AW806" s="15"/>
      <c r="AX806" s="15"/>
      <c r="AY806" s="15"/>
      <c r="AZ806" s="15"/>
      <c r="BA806" s="15"/>
    </row>
    <row r="807" spans="1:53" ht="14.25" x14ac:dyDescent="0.2">
      <c r="A807" s="13"/>
      <c r="B807" s="14"/>
      <c r="C807" s="15"/>
      <c r="D807" s="15"/>
      <c r="E807" s="91"/>
      <c r="F807" s="17"/>
      <c r="G807" s="17"/>
      <c r="H807" s="15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40"/>
      <c r="T807" s="17"/>
      <c r="U807" s="17"/>
      <c r="V807" s="15"/>
      <c r="W807" s="92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  <c r="AV807" s="15"/>
      <c r="AW807" s="15"/>
      <c r="AX807" s="15"/>
      <c r="AY807" s="15"/>
      <c r="AZ807" s="15"/>
      <c r="BA807" s="15"/>
    </row>
    <row r="808" spans="1:53" ht="14.25" x14ac:dyDescent="0.2">
      <c r="A808" s="13"/>
      <c r="B808" s="14"/>
      <c r="C808" s="15"/>
      <c r="D808" s="15"/>
      <c r="E808" s="91"/>
      <c r="F808" s="17"/>
      <c r="G808" s="17"/>
      <c r="H808" s="15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40"/>
      <c r="T808" s="17"/>
      <c r="U808" s="17"/>
      <c r="V808" s="15"/>
      <c r="W808" s="92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  <c r="AS808" s="15"/>
      <c r="AT808" s="15"/>
      <c r="AU808" s="15"/>
      <c r="AV808" s="15"/>
      <c r="AW808" s="15"/>
      <c r="AX808" s="15"/>
      <c r="AY808" s="15"/>
      <c r="AZ808" s="15"/>
      <c r="BA808" s="15"/>
    </row>
    <row r="809" spans="1:53" ht="14.25" x14ac:dyDescent="0.2">
      <c r="A809" s="13"/>
      <c r="B809" s="14"/>
      <c r="C809" s="15"/>
      <c r="D809" s="15"/>
      <c r="E809" s="91"/>
      <c r="F809" s="17"/>
      <c r="G809" s="17"/>
      <c r="H809" s="15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40"/>
      <c r="T809" s="17"/>
      <c r="U809" s="17"/>
      <c r="V809" s="15"/>
      <c r="W809" s="92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  <c r="AT809" s="15"/>
      <c r="AU809" s="15"/>
      <c r="AV809" s="15"/>
      <c r="AW809" s="15"/>
      <c r="AX809" s="15"/>
      <c r="AY809" s="15"/>
      <c r="AZ809" s="15"/>
      <c r="BA809" s="15"/>
    </row>
    <row r="810" spans="1:53" ht="14.25" x14ac:dyDescent="0.2">
      <c r="A810" s="13"/>
      <c r="B810" s="14"/>
      <c r="C810" s="15"/>
      <c r="D810" s="15"/>
      <c r="E810" s="91"/>
      <c r="F810" s="17"/>
      <c r="G810" s="17"/>
      <c r="H810" s="15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40"/>
      <c r="T810" s="17"/>
      <c r="U810" s="17"/>
      <c r="V810" s="15"/>
      <c r="W810" s="92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  <c r="AS810" s="15"/>
      <c r="AT810" s="15"/>
      <c r="AU810" s="15"/>
      <c r="AV810" s="15"/>
      <c r="AW810" s="15"/>
      <c r="AX810" s="15"/>
      <c r="AY810" s="15"/>
      <c r="AZ810" s="15"/>
      <c r="BA810" s="15"/>
    </row>
    <row r="811" spans="1:53" ht="14.25" x14ac:dyDescent="0.2">
      <c r="A811" s="13"/>
      <c r="B811" s="14"/>
      <c r="C811" s="15"/>
      <c r="D811" s="15"/>
      <c r="E811" s="91"/>
      <c r="F811" s="17"/>
      <c r="G811" s="17"/>
      <c r="H811" s="15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40"/>
      <c r="T811" s="17"/>
      <c r="U811" s="17"/>
      <c r="V811" s="15"/>
      <c r="W811" s="92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  <c r="AV811" s="15"/>
      <c r="AW811" s="15"/>
      <c r="AX811" s="15"/>
      <c r="AY811" s="15"/>
      <c r="AZ811" s="15"/>
      <c r="BA811" s="15"/>
    </row>
    <row r="812" spans="1:53" ht="14.25" x14ac:dyDescent="0.2">
      <c r="A812" s="13"/>
      <c r="B812" s="14"/>
      <c r="C812" s="15"/>
      <c r="D812" s="15"/>
      <c r="E812" s="91"/>
      <c r="F812" s="17"/>
      <c r="G812" s="17"/>
      <c r="H812" s="15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40"/>
      <c r="T812" s="17"/>
      <c r="U812" s="17"/>
      <c r="V812" s="15"/>
      <c r="W812" s="92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  <c r="AX812" s="15"/>
      <c r="AY812" s="15"/>
      <c r="AZ812" s="15"/>
      <c r="BA812" s="15"/>
    </row>
    <row r="813" spans="1:53" ht="14.25" x14ac:dyDescent="0.2">
      <c r="A813" s="13"/>
      <c r="B813" s="14"/>
      <c r="C813" s="15"/>
      <c r="D813" s="15"/>
      <c r="E813" s="91"/>
      <c r="F813" s="17"/>
      <c r="G813" s="17"/>
      <c r="H813" s="15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40"/>
      <c r="T813" s="17"/>
      <c r="U813" s="17"/>
      <c r="V813" s="15"/>
      <c r="W813" s="92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  <c r="AV813" s="15"/>
      <c r="AW813" s="15"/>
      <c r="AX813" s="15"/>
      <c r="AY813" s="15"/>
      <c r="AZ813" s="15"/>
      <c r="BA813" s="15"/>
    </row>
    <row r="814" spans="1:53" ht="14.25" x14ac:dyDescent="0.2">
      <c r="A814" s="13"/>
      <c r="B814" s="14"/>
      <c r="C814" s="15"/>
      <c r="D814" s="15"/>
      <c r="E814" s="91"/>
      <c r="F814" s="17"/>
      <c r="G814" s="17"/>
      <c r="H814" s="15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40"/>
      <c r="T814" s="17"/>
      <c r="U814" s="17"/>
      <c r="V814" s="15"/>
      <c r="W814" s="92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  <c r="AV814" s="15"/>
      <c r="AW814" s="15"/>
      <c r="AX814" s="15"/>
      <c r="AY814" s="15"/>
      <c r="AZ814" s="15"/>
      <c r="BA814" s="15"/>
    </row>
    <row r="815" spans="1:53" ht="14.25" x14ac:dyDescent="0.2">
      <c r="A815" s="13"/>
      <c r="B815" s="14"/>
      <c r="C815" s="15"/>
      <c r="D815" s="15"/>
      <c r="E815" s="91"/>
      <c r="F815" s="17"/>
      <c r="G815" s="17"/>
      <c r="H815" s="15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40"/>
      <c r="T815" s="17"/>
      <c r="U815" s="17"/>
      <c r="V815" s="15"/>
      <c r="W815" s="92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  <c r="AV815" s="15"/>
      <c r="AW815" s="15"/>
      <c r="AX815" s="15"/>
      <c r="AY815" s="15"/>
      <c r="AZ815" s="15"/>
      <c r="BA815" s="15"/>
    </row>
    <row r="816" spans="1:53" ht="14.25" x14ac:dyDescent="0.2">
      <c r="A816" s="13"/>
      <c r="B816" s="14"/>
      <c r="C816" s="15"/>
      <c r="D816" s="15"/>
      <c r="E816" s="91"/>
      <c r="F816" s="17"/>
      <c r="G816" s="17"/>
      <c r="H816" s="15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40"/>
      <c r="T816" s="17"/>
      <c r="U816" s="17"/>
      <c r="V816" s="15"/>
      <c r="W816" s="92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5"/>
      <c r="AT816" s="15"/>
      <c r="AU816" s="15"/>
      <c r="AV816" s="15"/>
      <c r="AW816" s="15"/>
      <c r="AX816" s="15"/>
      <c r="AY816" s="15"/>
      <c r="AZ816" s="15"/>
      <c r="BA816" s="15"/>
    </row>
    <row r="817" spans="1:53" ht="14.25" x14ac:dyDescent="0.2">
      <c r="A817" s="13"/>
      <c r="B817" s="14"/>
      <c r="C817" s="15"/>
      <c r="D817" s="15"/>
      <c r="E817" s="91"/>
      <c r="F817" s="17"/>
      <c r="G817" s="17"/>
      <c r="H817" s="15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40"/>
      <c r="T817" s="17"/>
      <c r="U817" s="17"/>
      <c r="V817" s="15"/>
      <c r="W817" s="92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  <c r="AX817" s="15"/>
      <c r="AY817" s="15"/>
      <c r="AZ817" s="15"/>
      <c r="BA817" s="15"/>
    </row>
    <row r="818" spans="1:53" ht="14.25" x14ac:dyDescent="0.2">
      <c r="A818" s="13"/>
      <c r="B818" s="14"/>
      <c r="C818" s="15"/>
      <c r="D818" s="15"/>
      <c r="E818" s="91"/>
      <c r="F818" s="17"/>
      <c r="G818" s="17"/>
      <c r="H818" s="15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40"/>
      <c r="T818" s="17"/>
      <c r="U818" s="17"/>
      <c r="V818" s="15"/>
      <c r="W818" s="92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R818" s="15"/>
      <c r="AS818" s="15"/>
      <c r="AT818" s="15"/>
      <c r="AU818" s="15"/>
      <c r="AV818" s="15"/>
      <c r="AW818" s="15"/>
      <c r="AX818" s="15"/>
      <c r="AY818" s="15"/>
      <c r="AZ818" s="15"/>
      <c r="BA818" s="15"/>
    </row>
    <row r="819" spans="1:53" ht="14.25" x14ac:dyDescent="0.2">
      <c r="A819" s="13"/>
      <c r="B819" s="14"/>
      <c r="C819" s="15"/>
      <c r="D819" s="15"/>
      <c r="E819" s="91"/>
      <c r="F819" s="17"/>
      <c r="G819" s="17"/>
      <c r="H819" s="15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40"/>
      <c r="T819" s="17"/>
      <c r="U819" s="17"/>
      <c r="V819" s="15"/>
      <c r="W819" s="92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  <c r="AX819" s="15"/>
      <c r="AY819" s="15"/>
      <c r="AZ819" s="15"/>
      <c r="BA819" s="15"/>
    </row>
    <row r="820" spans="1:53" ht="14.25" x14ac:dyDescent="0.2">
      <c r="A820" s="13"/>
      <c r="B820" s="14"/>
      <c r="C820" s="15"/>
      <c r="D820" s="15"/>
      <c r="E820" s="91"/>
      <c r="F820" s="17"/>
      <c r="G820" s="17"/>
      <c r="H820" s="15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40"/>
      <c r="T820" s="17"/>
      <c r="U820" s="17"/>
      <c r="V820" s="15"/>
      <c r="W820" s="92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  <c r="AS820" s="15"/>
      <c r="AT820" s="15"/>
      <c r="AU820" s="15"/>
      <c r="AV820" s="15"/>
      <c r="AW820" s="15"/>
      <c r="AX820" s="15"/>
      <c r="AY820" s="15"/>
      <c r="AZ820" s="15"/>
      <c r="BA820" s="15"/>
    </row>
    <row r="821" spans="1:53" ht="14.25" x14ac:dyDescent="0.2">
      <c r="A821" s="13"/>
      <c r="B821" s="14"/>
      <c r="C821" s="15"/>
      <c r="D821" s="15"/>
      <c r="E821" s="91"/>
      <c r="F821" s="17"/>
      <c r="G821" s="17"/>
      <c r="H821" s="15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40"/>
      <c r="T821" s="17"/>
      <c r="U821" s="17"/>
      <c r="V821" s="15"/>
      <c r="W821" s="92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  <c r="AX821" s="15"/>
      <c r="AY821" s="15"/>
      <c r="AZ821" s="15"/>
      <c r="BA821" s="15"/>
    </row>
    <row r="822" spans="1:53" ht="14.25" x14ac:dyDescent="0.2">
      <c r="A822" s="13"/>
      <c r="B822" s="14"/>
      <c r="C822" s="15"/>
      <c r="D822" s="15"/>
      <c r="E822" s="91"/>
      <c r="F822" s="17"/>
      <c r="G822" s="17"/>
      <c r="H822" s="15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40"/>
      <c r="T822" s="17"/>
      <c r="U822" s="17"/>
      <c r="V822" s="15"/>
      <c r="W822" s="92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  <c r="AT822" s="15"/>
      <c r="AU822" s="15"/>
      <c r="AV822" s="15"/>
      <c r="AW822" s="15"/>
      <c r="AX822" s="15"/>
      <c r="AY822" s="15"/>
      <c r="AZ822" s="15"/>
      <c r="BA822" s="15"/>
    </row>
    <row r="823" spans="1:53" ht="14.25" x14ac:dyDescent="0.2">
      <c r="A823" s="13"/>
      <c r="B823" s="14"/>
      <c r="C823" s="15"/>
      <c r="D823" s="15"/>
      <c r="E823" s="91"/>
      <c r="F823" s="17"/>
      <c r="G823" s="17"/>
      <c r="H823" s="15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40"/>
      <c r="T823" s="17"/>
      <c r="U823" s="17"/>
      <c r="V823" s="15"/>
      <c r="W823" s="92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  <c r="AZ823" s="15"/>
      <c r="BA823" s="15"/>
    </row>
    <row r="824" spans="1:53" ht="14.25" x14ac:dyDescent="0.2">
      <c r="A824" s="13"/>
      <c r="B824" s="14"/>
      <c r="C824" s="15"/>
      <c r="D824" s="15"/>
      <c r="E824" s="91"/>
      <c r="F824" s="17"/>
      <c r="G824" s="17"/>
      <c r="H824" s="15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40"/>
      <c r="T824" s="17"/>
      <c r="U824" s="17"/>
      <c r="V824" s="15"/>
      <c r="W824" s="92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R824" s="15"/>
      <c r="AS824" s="15"/>
      <c r="AT824" s="15"/>
      <c r="AU824" s="15"/>
      <c r="AV824" s="15"/>
      <c r="AW824" s="15"/>
      <c r="AX824" s="15"/>
      <c r="AY824" s="15"/>
      <c r="AZ824" s="15"/>
      <c r="BA824" s="15"/>
    </row>
    <row r="825" spans="1:53" ht="14.25" x14ac:dyDescent="0.2">
      <c r="A825" s="13"/>
      <c r="B825" s="14"/>
      <c r="C825" s="15"/>
      <c r="D825" s="15"/>
      <c r="E825" s="91"/>
      <c r="F825" s="17"/>
      <c r="G825" s="17"/>
      <c r="H825" s="15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40"/>
      <c r="T825" s="17"/>
      <c r="U825" s="17"/>
      <c r="V825" s="15"/>
      <c r="W825" s="92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  <c r="AZ825" s="15"/>
      <c r="BA825" s="15"/>
    </row>
    <row r="826" spans="1:53" ht="14.25" x14ac:dyDescent="0.2">
      <c r="A826" s="13"/>
      <c r="B826" s="14"/>
      <c r="C826" s="15"/>
      <c r="D826" s="15"/>
      <c r="E826" s="91"/>
      <c r="F826" s="17"/>
      <c r="G826" s="17"/>
      <c r="H826" s="15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40"/>
      <c r="T826" s="17"/>
      <c r="U826" s="17"/>
      <c r="V826" s="15"/>
      <c r="W826" s="92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  <c r="AR826" s="15"/>
      <c r="AS826" s="15"/>
      <c r="AT826" s="15"/>
      <c r="AU826" s="15"/>
      <c r="AV826" s="15"/>
      <c r="AW826" s="15"/>
      <c r="AX826" s="15"/>
      <c r="AY826" s="15"/>
      <c r="AZ826" s="15"/>
      <c r="BA826" s="15"/>
    </row>
    <row r="827" spans="1:53" ht="14.25" x14ac:dyDescent="0.2">
      <c r="A827" s="13"/>
      <c r="B827" s="14"/>
      <c r="C827" s="15"/>
      <c r="D827" s="15"/>
      <c r="E827" s="91"/>
      <c r="F827" s="17"/>
      <c r="G827" s="17"/>
      <c r="H827" s="15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40"/>
      <c r="T827" s="17"/>
      <c r="U827" s="17"/>
      <c r="V827" s="15"/>
      <c r="W827" s="92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  <c r="AV827" s="15"/>
      <c r="AW827" s="15"/>
      <c r="AX827" s="15"/>
      <c r="AY827" s="15"/>
      <c r="AZ827" s="15"/>
      <c r="BA827" s="15"/>
    </row>
    <row r="828" spans="1:53" ht="14.25" x14ac:dyDescent="0.2">
      <c r="A828" s="13"/>
      <c r="B828" s="14"/>
      <c r="C828" s="15"/>
      <c r="D828" s="15"/>
      <c r="E828" s="91"/>
      <c r="F828" s="17"/>
      <c r="G828" s="17"/>
      <c r="H828" s="15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40"/>
      <c r="T828" s="17"/>
      <c r="U828" s="17"/>
      <c r="V828" s="15"/>
      <c r="W828" s="92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R828" s="15"/>
      <c r="AS828" s="15"/>
      <c r="AT828" s="15"/>
      <c r="AU828" s="15"/>
      <c r="AV828" s="15"/>
      <c r="AW828" s="15"/>
      <c r="AX828" s="15"/>
      <c r="AY828" s="15"/>
      <c r="AZ828" s="15"/>
      <c r="BA828" s="15"/>
    </row>
    <row r="829" spans="1:53" ht="14.25" x14ac:dyDescent="0.2">
      <c r="A829" s="13"/>
      <c r="B829" s="14"/>
      <c r="C829" s="15"/>
      <c r="D829" s="15"/>
      <c r="E829" s="91"/>
      <c r="F829" s="17"/>
      <c r="G829" s="17"/>
      <c r="H829" s="15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40"/>
      <c r="T829" s="17"/>
      <c r="U829" s="17"/>
      <c r="V829" s="15"/>
      <c r="W829" s="92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  <c r="AZ829" s="15"/>
      <c r="BA829" s="15"/>
    </row>
    <row r="830" spans="1:53" ht="14.25" x14ac:dyDescent="0.2">
      <c r="A830" s="13"/>
      <c r="B830" s="14"/>
      <c r="C830" s="15"/>
      <c r="D830" s="15"/>
      <c r="E830" s="91"/>
      <c r="F830" s="17"/>
      <c r="G830" s="17"/>
      <c r="H830" s="15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40"/>
      <c r="T830" s="17"/>
      <c r="U830" s="17"/>
      <c r="V830" s="15"/>
      <c r="W830" s="92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R830" s="15"/>
      <c r="AS830" s="15"/>
      <c r="AT830" s="15"/>
      <c r="AU830" s="15"/>
      <c r="AV830" s="15"/>
      <c r="AW830" s="15"/>
      <c r="AX830" s="15"/>
      <c r="AY830" s="15"/>
      <c r="AZ830" s="15"/>
      <c r="BA830" s="15"/>
    </row>
    <row r="831" spans="1:53" ht="14.25" x14ac:dyDescent="0.2">
      <c r="A831" s="13"/>
      <c r="B831" s="14"/>
      <c r="C831" s="15"/>
      <c r="D831" s="15"/>
      <c r="E831" s="91"/>
      <c r="F831" s="17"/>
      <c r="G831" s="17"/>
      <c r="H831" s="15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40"/>
      <c r="T831" s="17"/>
      <c r="U831" s="17"/>
      <c r="V831" s="15"/>
      <c r="W831" s="92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  <c r="AZ831" s="15"/>
      <c r="BA831" s="15"/>
    </row>
    <row r="832" spans="1:53" ht="14.25" x14ac:dyDescent="0.2">
      <c r="A832" s="13"/>
      <c r="B832" s="14"/>
      <c r="C832" s="15"/>
      <c r="D832" s="15"/>
      <c r="E832" s="91"/>
      <c r="F832" s="17"/>
      <c r="G832" s="17"/>
      <c r="H832" s="15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40"/>
      <c r="T832" s="17"/>
      <c r="U832" s="17"/>
      <c r="V832" s="15"/>
      <c r="W832" s="92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  <c r="AU832" s="15"/>
      <c r="AV832" s="15"/>
      <c r="AW832" s="15"/>
      <c r="AX832" s="15"/>
      <c r="AY832" s="15"/>
      <c r="AZ832" s="15"/>
      <c r="BA832" s="15"/>
    </row>
    <row r="833" spans="1:53" ht="14.25" x14ac:dyDescent="0.2">
      <c r="A833" s="13"/>
      <c r="B833" s="14"/>
      <c r="C833" s="15"/>
      <c r="D833" s="15"/>
      <c r="E833" s="91"/>
      <c r="F833" s="17"/>
      <c r="G833" s="17"/>
      <c r="H833" s="15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40"/>
      <c r="T833" s="17"/>
      <c r="U833" s="17"/>
      <c r="V833" s="15"/>
      <c r="W833" s="92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  <c r="BA833" s="15"/>
    </row>
    <row r="834" spans="1:53" ht="14.25" x14ac:dyDescent="0.2">
      <c r="A834" s="13"/>
      <c r="B834" s="14"/>
      <c r="C834" s="15"/>
      <c r="D834" s="15"/>
      <c r="E834" s="91"/>
      <c r="F834" s="17"/>
      <c r="G834" s="17"/>
      <c r="H834" s="15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40"/>
      <c r="T834" s="17"/>
      <c r="U834" s="17"/>
      <c r="V834" s="15"/>
      <c r="W834" s="92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  <c r="AT834" s="15"/>
      <c r="AU834" s="15"/>
      <c r="AV834" s="15"/>
      <c r="AW834" s="15"/>
      <c r="AX834" s="15"/>
      <c r="AY834" s="15"/>
      <c r="AZ834" s="15"/>
      <c r="BA834" s="15"/>
    </row>
    <row r="835" spans="1:53" ht="14.25" x14ac:dyDescent="0.2">
      <c r="A835" s="13"/>
      <c r="B835" s="14"/>
      <c r="C835" s="15"/>
      <c r="D835" s="15"/>
      <c r="E835" s="91"/>
      <c r="F835" s="17"/>
      <c r="G835" s="17"/>
      <c r="H835" s="15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40"/>
      <c r="T835" s="17"/>
      <c r="U835" s="17"/>
      <c r="V835" s="15"/>
      <c r="W835" s="92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  <c r="AZ835" s="15"/>
      <c r="BA835" s="15"/>
    </row>
    <row r="836" spans="1:53" ht="14.25" x14ac:dyDescent="0.2">
      <c r="A836" s="13"/>
      <c r="B836" s="14"/>
      <c r="C836" s="15"/>
      <c r="D836" s="15"/>
      <c r="E836" s="91"/>
      <c r="F836" s="17"/>
      <c r="G836" s="17"/>
      <c r="H836" s="15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40"/>
      <c r="T836" s="17"/>
      <c r="U836" s="17"/>
      <c r="V836" s="15"/>
      <c r="W836" s="92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/>
      <c r="AS836" s="15"/>
      <c r="AT836" s="15"/>
      <c r="AU836" s="15"/>
      <c r="AV836" s="15"/>
      <c r="AW836" s="15"/>
      <c r="AX836" s="15"/>
      <c r="AY836" s="15"/>
      <c r="AZ836" s="15"/>
      <c r="BA836" s="15"/>
    </row>
    <row r="837" spans="1:53" ht="14.25" x14ac:dyDescent="0.2">
      <c r="A837" s="13"/>
      <c r="B837" s="14"/>
      <c r="C837" s="15"/>
      <c r="D837" s="15"/>
      <c r="E837" s="91"/>
      <c r="F837" s="17"/>
      <c r="G837" s="17"/>
      <c r="H837" s="15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40"/>
      <c r="T837" s="17"/>
      <c r="U837" s="17"/>
      <c r="V837" s="15"/>
      <c r="W837" s="92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  <c r="AZ837" s="15"/>
      <c r="BA837" s="15"/>
    </row>
    <row r="838" spans="1:53" ht="14.25" x14ac:dyDescent="0.2">
      <c r="A838" s="13"/>
      <c r="B838" s="14"/>
      <c r="C838" s="15"/>
      <c r="D838" s="15"/>
      <c r="E838" s="91"/>
      <c r="F838" s="17"/>
      <c r="G838" s="17"/>
      <c r="H838" s="15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40"/>
      <c r="T838" s="17"/>
      <c r="U838" s="17"/>
      <c r="V838" s="15"/>
      <c r="W838" s="92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  <c r="AS838" s="15"/>
      <c r="AT838" s="15"/>
      <c r="AU838" s="15"/>
      <c r="AV838" s="15"/>
      <c r="AW838" s="15"/>
      <c r="AX838" s="15"/>
      <c r="AY838" s="15"/>
      <c r="AZ838" s="15"/>
      <c r="BA838" s="15"/>
    </row>
    <row r="839" spans="1:53" ht="14.25" x14ac:dyDescent="0.2">
      <c r="A839" s="13"/>
      <c r="B839" s="14"/>
      <c r="C839" s="15"/>
      <c r="D839" s="15"/>
      <c r="E839" s="91"/>
      <c r="F839" s="17"/>
      <c r="G839" s="17"/>
      <c r="H839" s="15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40"/>
      <c r="T839" s="17"/>
      <c r="U839" s="17"/>
      <c r="V839" s="15"/>
      <c r="W839" s="92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  <c r="BA839" s="15"/>
    </row>
    <row r="840" spans="1:53" ht="14.25" x14ac:dyDescent="0.2">
      <c r="A840" s="13"/>
      <c r="B840" s="14"/>
      <c r="C840" s="15"/>
      <c r="D840" s="15"/>
      <c r="E840" s="91"/>
      <c r="F840" s="17"/>
      <c r="G840" s="17"/>
      <c r="H840" s="15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40"/>
      <c r="T840" s="17"/>
      <c r="U840" s="17"/>
      <c r="V840" s="15"/>
      <c r="W840" s="92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  <c r="AS840" s="15"/>
      <c r="AT840" s="15"/>
      <c r="AU840" s="15"/>
      <c r="AV840" s="15"/>
      <c r="AW840" s="15"/>
      <c r="AX840" s="15"/>
      <c r="AY840" s="15"/>
      <c r="AZ840" s="15"/>
      <c r="BA840" s="15"/>
    </row>
    <row r="841" spans="1:53" ht="14.25" x14ac:dyDescent="0.2">
      <c r="A841" s="13"/>
      <c r="B841" s="14"/>
      <c r="C841" s="15"/>
      <c r="D841" s="15"/>
      <c r="E841" s="91"/>
      <c r="F841" s="17"/>
      <c r="G841" s="17"/>
      <c r="H841" s="15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40"/>
      <c r="T841" s="17"/>
      <c r="U841" s="17"/>
      <c r="V841" s="15"/>
      <c r="W841" s="92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  <c r="BA841" s="15"/>
    </row>
    <row r="842" spans="1:53" ht="14.25" x14ac:dyDescent="0.2">
      <c r="A842" s="13"/>
      <c r="B842" s="14"/>
      <c r="C842" s="15"/>
      <c r="D842" s="15"/>
      <c r="E842" s="91"/>
      <c r="F842" s="17"/>
      <c r="G842" s="17"/>
      <c r="H842" s="15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40"/>
      <c r="T842" s="17"/>
      <c r="U842" s="17"/>
      <c r="V842" s="15"/>
      <c r="W842" s="92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  <c r="AS842" s="15"/>
      <c r="AT842" s="15"/>
      <c r="AU842" s="15"/>
      <c r="AV842" s="15"/>
      <c r="AW842" s="15"/>
      <c r="AX842" s="15"/>
      <c r="AY842" s="15"/>
      <c r="AZ842" s="15"/>
      <c r="BA842" s="15"/>
    </row>
    <row r="843" spans="1:53" ht="14.25" x14ac:dyDescent="0.2">
      <c r="A843" s="13"/>
      <c r="B843" s="14"/>
      <c r="C843" s="15"/>
      <c r="D843" s="15"/>
      <c r="E843" s="91"/>
      <c r="F843" s="17"/>
      <c r="G843" s="17"/>
      <c r="H843" s="15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40"/>
      <c r="T843" s="17"/>
      <c r="U843" s="17"/>
      <c r="V843" s="15"/>
      <c r="W843" s="92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  <c r="BA843" s="15"/>
    </row>
    <row r="844" spans="1:53" ht="14.25" x14ac:dyDescent="0.2">
      <c r="A844" s="13"/>
      <c r="B844" s="14"/>
      <c r="C844" s="15"/>
      <c r="D844" s="15"/>
      <c r="E844" s="91"/>
      <c r="F844" s="17"/>
      <c r="G844" s="17"/>
      <c r="H844" s="15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40"/>
      <c r="T844" s="17"/>
      <c r="U844" s="17"/>
      <c r="V844" s="15"/>
      <c r="W844" s="92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  <c r="AT844" s="15"/>
      <c r="AU844" s="15"/>
      <c r="AV844" s="15"/>
      <c r="AW844" s="15"/>
      <c r="AX844" s="15"/>
      <c r="AY844" s="15"/>
      <c r="AZ844" s="15"/>
      <c r="BA844" s="15"/>
    </row>
    <row r="845" spans="1:53" ht="14.25" x14ac:dyDescent="0.2">
      <c r="A845" s="13"/>
      <c r="B845" s="14"/>
      <c r="C845" s="15"/>
      <c r="D845" s="15"/>
      <c r="E845" s="91"/>
      <c r="F845" s="17"/>
      <c r="G845" s="17"/>
      <c r="H845" s="15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40"/>
      <c r="T845" s="17"/>
      <c r="U845" s="17"/>
      <c r="V845" s="15"/>
      <c r="W845" s="92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  <c r="BA845" s="15"/>
    </row>
    <row r="846" spans="1:53" ht="14.25" x14ac:dyDescent="0.2">
      <c r="A846" s="13"/>
      <c r="B846" s="14"/>
      <c r="C846" s="15"/>
      <c r="D846" s="15"/>
      <c r="E846" s="91"/>
      <c r="F846" s="17"/>
      <c r="G846" s="17"/>
      <c r="H846" s="15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40"/>
      <c r="T846" s="17"/>
      <c r="U846" s="17"/>
      <c r="V846" s="15"/>
      <c r="W846" s="92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  <c r="AS846" s="15"/>
      <c r="AT846" s="15"/>
      <c r="AU846" s="15"/>
      <c r="AV846" s="15"/>
      <c r="AW846" s="15"/>
      <c r="AX846" s="15"/>
      <c r="AY846" s="15"/>
      <c r="AZ846" s="15"/>
      <c r="BA846" s="15"/>
    </row>
    <row r="847" spans="1:53" ht="14.25" x14ac:dyDescent="0.2">
      <c r="A847" s="13"/>
      <c r="B847" s="14"/>
      <c r="C847" s="15"/>
      <c r="D847" s="15"/>
      <c r="E847" s="91"/>
      <c r="F847" s="17"/>
      <c r="G847" s="17"/>
      <c r="H847" s="15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40"/>
      <c r="T847" s="17"/>
      <c r="U847" s="17"/>
      <c r="V847" s="15"/>
      <c r="W847" s="92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  <c r="BA847" s="15"/>
    </row>
    <row r="848" spans="1:53" ht="14.25" x14ac:dyDescent="0.2">
      <c r="A848" s="13"/>
      <c r="B848" s="14"/>
      <c r="C848" s="15"/>
      <c r="D848" s="15"/>
      <c r="E848" s="91"/>
      <c r="F848" s="17"/>
      <c r="G848" s="17"/>
      <c r="H848" s="15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40"/>
      <c r="T848" s="17"/>
      <c r="U848" s="17"/>
      <c r="V848" s="15"/>
      <c r="W848" s="92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  <c r="AS848" s="15"/>
      <c r="AT848" s="15"/>
      <c r="AU848" s="15"/>
      <c r="AV848" s="15"/>
      <c r="AW848" s="15"/>
      <c r="AX848" s="15"/>
      <c r="AY848" s="15"/>
      <c r="AZ848" s="15"/>
      <c r="BA848" s="15"/>
    </row>
    <row r="849" spans="1:53" ht="14.25" x14ac:dyDescent="0.2">
      <c r="A849" s="13"/>
      <c r="B849" s="14"/>
      <c r="C849" s="15"/>
      <c r="D849" s="15"/>
      <c r="E849" s="91"/>
      <c r="F849" s="17"/>
      <c r="G849" s="17"/>
      <c r="H849" s="15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40"/>
      <c r="T849" s="17"/>
      <c r="U849" s="17"/>
      <c r="V849" s="15"/>
      <c r="W849" s="92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/>
    </row>
    <row r="850" spans="1:53" ht="14.25" x14ac:dyDescent="0.2">
      <c r="A850" s="13"/>
      <c r="B850" s="14"/>
      <c r="C850" s="15"/>
      <c r="D850" s="15"/>
      <c r="E850" s="91"/>
      <c r="F850" s="17"/>
      <c r="G850" s="17"/>
      <c r="H850" s="15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40"/>
      <c r="T850" s="17"/>
      <c r="U850" s="17"/>
      <c r="V850" s="15"/>
      <c r="W850" s="92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  <c r="AS850" s="15"/>
      <c r="AT850" s="15"/>
      <c r="AU850" s="15"/>
      <c r="AV850" s="15"/>
      <c r="AW850" s="15"/>
      <c r="AX850" s="15"/>
      <c r="AY850" s="15"/>
      <c r="AZ850" s="15"/>
      <c r="BA850" s="15"/>
    </row>
    <row r="851" spans="1:53" ht="14.25" x14ac:dyDescent="0.2">
      <c r="A851" s="13"/>
      <c r="B851" s="14"/>
      <c r="C851" s="15"/>
      <c r="D851" s="15"/>
      <c r="E851" s="91"/>
      <c r="F851" s="17"/>
      <c r="G851" s="17"/>
      <c r="H851" s="15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40"/>
      <c r="T851" s="17"/>
      <c r="U851" s="17"/>
      <c r="V851" s="15"/>
      <c r="W851" s="92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  <c r="BA851" s="15"/>
    </row>
    <row r="852" spans="1:53" ht="14.25" x14ac:dyDescent="0.2">
      <c r="A852" s="13"/>
      <c r="B852" s="14"/>
      <c r="C852" s="15"/>
      <c r="D852" s="15"/>
      <c r="E852" s="91"/>
      <c r="F852" s="17"/>
      <c r="G852" s="17"/>
      <c r="H852" s="15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40"/>
      <c r="T852" s="17"/>
      <c r="U852" s="17"/>
      <c r="V852" s="15"/>
      <c r="W852" s="92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  <c r="AS852" s="15"/>
      <c r="AT852" s="15"/>
      <c r="AU852" s="15"/>
      <c r="AV852" s="15"/>
      <c r="AW852" s="15"/>
      <c r="AX852" s="15"/>
      <c r="AY852" s="15"/>
      <c r="AZ852" s="15"/>
      <c r="BA852" s="15"/>
    </row>
    <row r="853" spans="1:53" ht="14.25" x14ac:dyDescent="0.2">
      <c r="A853" s="13"/>
      <c r="B853" s="14"/>
      <c r="C853" s="15"/>
      <c r="D853" s="15"/>
      <c r="E853" s="91"/>
      <c r="F853" s="17"/>
      <c r="G853" s="17"/>
      <c r="H853" s="15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40"/>
      <c r="T853" s="17"/>
      <c r="U853" s="17"/>
      <c r="V853" s="15"/>
      <c r="W853" s="92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  <c r="BA853" s="15"/>
    </row>
    <row r="854" spans="1:53" ht="14.25" x14ac:dyDescent="0.2">
      <c r="A854" s="13"/>
      <c r="B854" s="14"/>
      <c r="C854" s="15"/>
      <c r="D854" s="15"/>
      <c r="E854" s="91"/>
      <c r="F854" s="17"/>
      <c r="G854" s="17"/>
      <c r="H854" s="15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40"/>
      <c r="T854" s="17"/>
      <c r="U854" s="17"/>
      <c r="V854" s="15"/>
      <c r="W854" s="92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  <c r="AT854" s="15"/>
      <c r="AU854" s="15"/>
      <c r="AV854" s="15"/>
      <c r="AW854" s="15"/>
      <c r="AX854" s="15"/>
      <c r="AY854" s="15"/>
      <c r="AZ854" s="15"/>
      <c r="BA854" s="15"/>
    </row>
    <row r="855" spans="1:53" ht="14.25" x14ac:dyDescent="0.2">
      <c r="A855" s="13"/>
      <c r="B855" s="14"/>
      <c r="C855" s="15"/>
      <c r="D855" s="15"/>
      <c r="E855" s="91"/>
      <c r="F855" s="17"/>
      <c r="G855" s="17"/>
      <c r="H855" s="15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40"/>
      <c r="T855" s="17"/>
      <c r="U855" s="17"/>
      <c r="V855" s="15"/>
      <c r="W855" s="92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  <c r="BA855" s="15"/>
    </row>
    <row r="856" spans="1:53" ht="14.25" x14ac:dyDescent="0.2">
      <c r="A856" s="13"/>
      <c r="B856" s="14"/>
      <c r="C856" s="15"/>
      <c r="D856" s="15"/>
      <c r="E856" s="91"/>
      <c r="F856" s="17"/>
      <c r="G856" s="17"/>
      <c r="H856" s="15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40"/>
      <c r="T856" s="17"/>
      <c r="U856" s="17"/>
      <c r="V856" s="15"/>
      <c r="W856" s="92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  <c r="AV856" s="15"/>
      <c r="AW856" s="15"/>
      <c r="AX856" s="15"/>
      <c r="AY856" s="15"/>
      <c r="AZ856" s="15"/>
      <c r="BA856" s="15"/>
    </row>
    <row r="857" spans="1:53" ht="14.25" x14ac:dyDescent="0.2">
      <c r="A857" s="13"/>
      <c r="B857" s="14"/>
      <c r="C857" s="15"/>
      <c r="D857" s="15"/>
      <c r="E857" s="91"/>
      <c r="F857" s="17"/>
      <c r="G857" s="17"/>
      <c r="H857" s="15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40"/>
      <c r="T857" s="17"/>
      <c r="U857" s="17"/>
      <c r="V857" s="15"/>
      <c r="W857" s="92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  <c r="BA857" s="15"/>
    </row>
    <row r="858" spans="1:53" ht="14.25" x14ac:dyDescent="0.2">
      <c r="A858" s="13"/>
      <c r="B858" s="14"/>
      <c r="C858" s="15"/>
      <c r="D858" s="15"/>
      <c r="E858" s="91"/>
      <c r="F858" s="17"/>
      <c r="G858" s="17"/>
      <c r="H858" s="15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40"/>
      <c r="T858" s="17"/>
      <c r="U858" s="17"/>
      <c r="V858" s="15"/>
      <c r="W858" s="92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  <c r="AS858" s="15"/>
      <c r="AT858" s="15"/>
      <c r="AU858" s="15"/>
      <c r="AV858" s="15"/>
      <c r="AW858" s="15"/>
      <c r="AX858" s="15"/>
      <c r="AY858" s="15"/>
      <c r="AZ858" s="15"/>
      <c r="BA858" s="15"/>
    </row>
    <row r="859" spans="1:53" ht="14.25" x14ac:dyDescent="0.2">
      <c r="A859" s="13"/>
      <c r="B859" s="14"/>
      <c r="C859" s="15"/>
      <c r="D859" s="15"/>
      <c r="E859" s="91"/>
      <c r="F859" s="17"/>
      <c r="G859" s="17"/>
      <c r="H859" s="15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40"/>
      <c r="T859" s="17"/>
      <c r="U859" s="17"/>
      <c r="V859" s="15"/>
      <c r="W859" s="92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  <c r="BA859" s="15"/>
    </row>
    <row r="860" spans="1:53" ht="14.25" x14ac:dyDescent="0.2">
      <c r="A860" s="13"/>
      <c r="B860" s="14"/>
      <c r="C860" s="15"/>
      <c r="D860" s="15"/>
      <c r="E860" s="91"/>
      <c r="F860" s="17"/>
      <c r="G860" s="17"/>
      <c r="H860" s="15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40"/>
      <c r="T860" s="17"/>
      <c r="U860" s="17"/>
      <c r="V860" s="15"/>
      <c r="W860" s="92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  <c r="AV860" s="15"/>
      <c r="AW860" s="15"/>
      <c r="AX860" s="15"/>
      <c r="AY860" s="15"/>
      <c r="AZ860" s="15"/>
      <c r="BA860" s="15"/>
    </row>
    <row r="861" spans="1:53" ht="14.25" x14ac:dyDescent="0.2">
      <c r="A861" s="13"/>
      <c r="B861" s="14"/>
      <c r="C861" s="15"/>
      <c r="D861" s="15"/>
      <c r="E861" s="91"/>
      <c r="F861" s="17"/>
      <c r="G861" s="17"/>
      <c r="H861" s="15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40"/>
      <c r="T861" s="17"/>
      <c r="U861" s="17"/>
      <c r="V861" s="15"/>
      <c r="W861" s="92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/>
    </row>
    <row r="862" spans="1:53" ht="14.25" x14ac:dyDescent="0.2">
      <c r="A862" s="13"/>
      <c r="B862" s="14"/>
      <c r="C862" s="15"/>
      <c r="D862" s="15"/>
      <c r="E862" s="91"/>
      <c r="F862" s="17"/>
      <c r="G862" s="17"/>
      <c r="H862" s="15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40"/>
      <c r="T862" s="17"/>
      <c r="U862" s="17"/>
      <c r="V862" s="15"/>
      <c r="W862" s="92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  <c r="AV862" s="15"/>
      <c r="AW862" s="15"/>
      <c r="AX862" s="15"/>
      <c r="AY862" s="15"/>
      <c r="AZ862" s="15"/>
      <c r="BA862" s="15"/>
    </row>
    <row r="863" spans="1:53" ht="14.25" x14ac:dyDescent="0.2">
      <c r="A863" s="13"/>
      <c r="B863" s="14"/>
      <c r="C863" s="15"/>
      <c r="D863" s="15"/>
      <c r="E863" s="91"/>
      <c r="F863" s="17"/>
      <c r="G863" s="17"/>
      <c r="H863" s="15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40"/>
      <c r="T863" s="17"/>
      <c r="U863" s="17"/>
      <c r="V863" s="15"/>
      <c r="W863" s="92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/>
    </row>
    <row r="864" spans="1:53" ht="14.25" x14ac:dyDescent="0.2">
      <c r="A864" s="13"/>
      <c r="B864" s="14"/>
      <c r="C864" s="15"/>
      <c r="D864" s="15"/>
      <c r="E864" s="91"/>
      <c r="F864" s="17"/>
      <c r="G864" s="17"/>
      <c r="H864" s="15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40"/>
      <c r="T864" s="17"/>
      <c r="U864" s="17"/>
      <c r="V864" s="15"/>
      <c r="W864" s="92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  <c r="AX864" s="15"/>
      <c r="AY864" s="15"/>
      <c r="AZ864" s="15"/>
      <c r="BA864" s="15"/>
    </row>
    <row r="865" spans="1:53" ht="14.25" x14ac:dyDescent="0.2">
      <c r="A865" s="13"/>
      <c r="B865" s="14"/>
      <c r="C865" s="15"/>
      <c r="D865" s="15"/>
      <c r="E865" s="91"/>
      <c r="F865" s="17"/>
      <c r="G865" s="17"/>
      <c r="H865" s="15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40"/>
      <c r="T865" s="17"/>
      <c r="U865" s="17"/>
      <c r="V865" s="15"/>
      <c r="W865" s="92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/>
    </row>
    <row r="866" spans="1:53" ht="14.25" x14ac:dyDescent="0.2">
      <c r="A866" s="13"/>
      <c r="B866" s="14"/>
      <c r="C866" s="15"/>
      <c r="D866" s="15"/>
      <c r="E866" s="91"/>
      <c r="F866" s="17"/>
      <c r="G866" s="17"/>
      <c r="H866" s="15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40"/>
      <c r="T866" s="17"/>
      <c r="U866" s="17"/>
      <c r="V866" s="15"/>
      <c r="W866" s="92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  <c r="AV866" s="15"/>
      <c r="AW866" s="15"/>
      <c r="AX866" s="15"/>
      <c r="AY866" s="15"/>
      <c r="AZ866" s="15"/>
      <c r="BA866" s="15"/>
    </row>
    <row r="867" spans="1:53" ht="14.25" x14ac:dyDescent="0.2">
      <c r="A867" s="13"/>
      <c r="B867" s="14"/>
      <c r="C867" s="15"/>
      <c r="D867" s="15"/>
      <c r="E867" s="91"/>
      <c r="F867" s="17"/>
      <c r="G867" s="17"/>
      <c r="H867" s="15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40"/>
      <c r="T867" s="17"/>
      <c r="U867" s="17"/>
      <c r="V867" s="15"/>
      <c r="W867" s="92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  <c r="BA867" s="15"/>
    </row>
    <row r="868" spans="1:53" ht="14.25" x14ac:dyDescent="0.2">
      <c r="A868" s="13"/>
      <c r="B868" s="14"/>
      <c r="C868" s="15"/>
      <c r="D868" s="15"/>
      <c r="E868" s="91"/>
      <c r="F868" s="17"/>
      <c r="G868" s="17"/>
      <c r="H868" s="15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40"/>
      <c r="T868" s="17"/>
      <c r="U868" s="17"/>
      <c r="V868" s="15"/>
      <c r="W868" s="92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  <c r="AS868" s="15"/>
      <c r="AT868" s="15"/>
      <c r="AU868" s="15"/>
      <c r="AV868" s="15"/>
      <c r="AW868" s="15"/>
      <c r="AX868" s="15"/>
      <c r="AY868" s="15"/>
      <c r="AZ868" s="15"/>
      <c r="BA868" s="15"/>
    </row>
    <row r="869" spans="1:53" ht="14.25" x14ac:dyDescent="0.2">
      <c r="A869" s="13"/>
      <c r="B869" s="14"/>
      <c r="C869" s="15"/>
      <c r="D869" s="15"/>
      <c r="E869" s="91"/>
      <c r="F869" s="17"/>
      <c r="G869" s="17"/>
      <c r="H869" s="15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40"/>
      <c r="T869" s="17"/>
      <c r="U869" s="17"/>
      <c r="V869" s="15"/>
      <c r="W869" s="92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  <c r="BA869" s="15"/>
    </row>
    <row r="870" spans="1:53" ht="14.25" x14ac:dyDescent="0.2">
      <c r="A870" s="13"/>
      <c r="B870" s="14"/>
      <c r="C870" s="15"/>
      <c r="D870" s="15"/>
      <c r="E870" s="91"/>
      <c r="F870" s="17"/>
      <c r="G870" s="17"/>
      <c r="H870" s="15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40"/>
      <c r="T870" s="17"/>
      <c r="U870" s="17"/>
      <c r="V870" s="15"/>
      <c r="W870" s="92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  <c r="AS870" s="15"/>
      <c r="AT870" s="15"/>
      <c r="AU870" s="15"/>
      <c r="AV870" s="15"/>
      <c r="AW870" s="15"/>
      <c r="AX870" s="15"/>
      <c r="AY870" s="15"/>
      <c r="AZ870" s="15"/>
      <c r="BA870" s="15"/>
    </row>
    <row r="871" spans="1:53" ht="14.25" x14ac:dyDescent="0.2">
      <c r="A871" s="13"/>
      <c r="B871" s="14"/>
      <c r="C871" s="15"/>
      <c r="D871" s="15"/>
      <c r="E871" s="91"/>
      <c r="F871" s="17"/>
      <c r="G871" s="17"/>
      <c r="H871" s="15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40"/>
      <c r="T871" s="17"/>
      <c r="U871" s="17"/>
      <c r="V871" s="15"/>
      <c r="W871" s="92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  <c r="BA871" s="15"/>
    </row>
    <row r="872" spans="1:53" ht="14.25" x14ac:dyDescent="0.2">
      <c r="A872" s="13"/>
      <c r="B872" s="14"/>
      <c r="C872" s="15"/>
      <c r="D872" s="15"/>
      <c r="E872" s="91"/>
      <c r="F872" s="17"/>
      <c r="G872" s="17"/>
      <c r="H872" s="15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40"/>
      <c r="T872" s="17"/>
      <c r="U872" s="17"/>
      <c r="V872" s="15"/>
      <c r="W872" s="92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  <c r="AV872" s="15"/>
      <c r="AW872" s="15"/>
      <c r="AX872" s="15"/>
      <c r="AY872" s="15"/>
      <c r="AZ872" s="15"/>
      <c r="BA872" s="15"/>
    </row>
    <row r="873" spans="1:53" ht="14.25" x14ac:dyDescent="0.2">
      <c r="A873" s="13"/>
      <c r="B873" s="14"/>
      <c r="C873" s="15"/>
      <c r="D873" s="15"/>
      <c r="E873" s="91"/>
      <c r="F873" s="17"/>
      <c r="G873" s="17"/>
      <c r="H873" s="15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40"/>
      <c r="T873" s="17"/>
      <c r="U873" s="17"/>
      <c r="V873" s="15"/>
      <c r="W873" s="92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  <c r="BA873" s="15"/>
    </row>
    <row r="874" spans="1:53" ht="14.25" x14ac:dyDescent="0.2">
      <c r="A874" s="13"/>
      <c r="B874" s="14"/>
      <c r="C874" s="15"/>
      <c r="D874" s="15"/>
      <c r="E874" s="91"/>
      <c r="F874" s="17"/>
      <c r="G874" s="17"/>
      <c r="H874" s="15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40"/>
      <c r="T874" s="17"/>
      <c r="U874" s="17"/>
      <c r="V874" s="15"/>
      <c r="W874" s="92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R874" s="15"/>
      <c r="AS874" s="15"/>
      <c r="AT874" s="15"/>
      <c r="AU874" s="15"/>
      <c r="AV874" s="15"/>
      <c r="AW874" s="15"/>
      <c r="AX874" s="15"/>
      <c r="AY874" s="15"/>
      <c r="AZ874" s="15"/>
      <c r="BA874" s="15"/>
    </row>
    <row r="875" spans="1:53" ht="14.25" x14ac:dyDescent="0.2">
      <c r="A875" s="13"/>
      <c r="B875" s="14"/>
      <c r="C875" s="15"/>
      <c r="D875" s="15"/>
      <c r="E875" s="91"/>
      <c r="F875" s="17"/>
      <c r="G875" s="17"/>
      <c r="H875" s="15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40"/>
      <c r="T875" s="17"/>
      <c r="U875" s="17"/>
      <c r="V875" s="15"/>
      <c r="W875" s="92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  <c r="BA875" s="15"/>
    </row>
    <row r="876" spans="1:53" ht="14.25" x14ac:dyDescent="0.2">
      <c r="A876" s="13"/>
      <c r="B876" s="14"/>
      <c r="C876" s="15"/>
      <c r="D876" s="15"/>
      <c r="E876" s="91"/>
      <c r="F876" s="17"/>
      <c r="G876" s="17"/>
      <c r="H876" s="15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40"/>
      <c r="T876" s="17"/>
      <c r="U876" s="17"/>
      <c r="V876" s="15"/>
      <c r="W876" s="92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  <c r="AS876" s="15"/>
      <c r="AT876" s="15"/>
      <c r="AU876" s="15"/>
      <c r="AV876" s="15"/>
      <c r="AW876" s="15"/>
      <c r="AX876" s="15"/>
      <c r="AY876" s="15"/>
      <c r="AZ876" s="15"/>
      <c r="BA876" s="15"/>
    </row>
    <row r="877" spans="1:53" ht="14.25" x14ac:dyDescent="0.2">
      <c r="A877" s="13"/>
      <c r="B877" s="14"/>
      <c r="C877" s="15"/>
      <c r="D877" s="15"/>
      <c r="E877" s="91"/>
      <c r="F877" s="17"/>
      <c r="G877" s="17"/>
      <c r="H877" s="15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40"/>
      <c r="T877" s="17"/>
      <c r="U877" s="17"/>
      <c r="V877" s="15"/>
      <c r="W877" s="92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  <c r="BA877" s="15"/>
    </row>
    <row r="878" spans="1:53" ht="14.25" x14ac:dyDescent="0.2">
      <c r="A878" s="13"/>
      <c r="B878" s="14"/>
      <c r="C878" s="15"/>
      <c r="D878" s="15"/>
      <c r="E878" s="91"/>
      <c r="F878" s="17"/>
      <c r="G878" s="17"/>
      <c r="H878" s="15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40"/>
      <c r="T878" s="17"/>
      <c r="U878" s="17"/>
      <c r="V878" s="15"/>
      <c r="W878" s="92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  <c r="AV878" s="15"/>
      <c r="AW878" s="15"/>
      <c r="AX878" s="15"/>
      <c r="AY878" s="15"/>
      <c r="AZ878" s="15"/>
      <c r="BA878" s="15"/>
    </row>
    <row r="879" spans="1:53" ht="14.25" x14ac:dyDescent="0.2">
      <c r="A879" s="13"/>
      <c r="B879" s="14"/>
      <c r="C879" s="15"/>
      <c r="D879" s="15"/>
      <c r="E879" s="91"/>
      <c r="F879" s="17"/>
      <c r="G879" s="17"/>
      <c r="H879" s="15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40"/>
      <c r="T879" s="17"/>
      <c r="U879" s="17"/>
      <c r="V879" s="15"/>
      <c r="W879" s="92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  <c r="BA879" s="15"/>
    </row>
    <row r="880" spans="1:53" ht="14.25" x14ac:dyDescent="0.2">
      <c r="A880" s="13"/>
      <c r="B880" s="14"/>
      <c r="C880" s="15"/>
      <c r="D880" s="15"/>
      <c r="E880" s="91"/>
      <c r="F880" s="17"/>
      <c r="G880" s="17"/>
      <c r="H880" s="15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40"/>
      <c r="T880" s="17"/>
      <c r="U880" s="17"/>
      <c r="V880" s="15"/>
      <c r="W880" s="92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  <c r="AV880" s="15"/>
      <c r="AW880" s="15"/>
      <c r="AX880" s="15"/>
      <c r="AY880" s="15"/>
      <c r="AZ880" s="15"/>
      <c r="BA880" s="15"/>
    </row>
    <row r="881" spans="1:53" ht="14.25" x14ac:dyDescent="0.2">
      <c r="A881" s="13"/>
      <c r="B881" s="14"/>
      <c r="C881" s="15"/>
      <c r="D881" s="15"/>
      <c r="E881" s="91"/>
      <c r="F881" s="17"/>
      <c r="G881" s="17"/>
      <c r="H881" s="15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40"/>
      <c r="T881" s="17"/>
      <c r="U881" s="17"/>
      <c r="V881" s="15"/>
      <c r="W881" s="92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  <c r="BA881" s="15"/>
    </row>
    <row r="882" spans="1:53" ht="14.25" x14ac:dyDescent="0.2">
      <c r="A882" s="13"/>
      <c r="B882" s="14"/>
      <c r="C882" s="15"/>
      <c r="D882" s="15"/>
      <c r="E882" s="91"/>
      <c r="F882" s="17"/>
      <c r="G882" s="17"/>
      <c r="H882" s="15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40"/>
      <c r="T882" s="17"/>
      <c r="U882" s="17"/>
      <c r="V882" s="15"/>
      <c r="W882" s="92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  <c r="AV882" s="15"/>
      <c r="AW882" s="15"/>
      <c r="AX882" s="15"/>
      <c r="AY882" s="15"/>
      <c r="AZ882" s="15"/>
      <c r="BA882" s="15"/>
    </row>
    <row r="883" spans="1:53" ht="14.25" x14ac:dyDescent="0.2">
      <c r="A883" s="13"/>
      <c r="B883" s="14"/>
      <c r="C883" s="15"/>
      <c r="D883" s="15"/>
      <c r="E883" s="91"/>
      <c r="F883" s="17"/>
      <c r="G883" s="17"/>
      <c r="H883" s="15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40"/>
      <c r="T883" s="17"/>
      <c r="U883" s="17"/>
      <c r="V883" s="15"/>
      <c r="W883" s="92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  <c r="BA883" s="15"/>
    </row>
    <row r="884" spans="1:53" ht="14.25" x14ac:dyDescent="0.2">
      <c r="A884" s="13"/>
      <c r="B884" s="14"/>
      <c r="C884" s="15"/>
      <c r="D884" s="15"/>
      <c r="E884" s="91"/>
      <c r="F884" s="17"/>
      <c r="G884" s="17"/>
      <c r="H884" s="15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40"/>
      <c r="T884" s="17"/>
      <c r="U884" s="17"/>
      <c r="V884" s="15"/>
      <c r="W884" s="92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  <c r="AV884" s="15"/>
      <c r="AW884" s="15"/>
      <c r="AX884" s="15"/>
      <c r="AY884" s="15"/>
      <c r="AZ884" s="15"/>
      <c r="BA884" s="15"/>
    </row>
    <row r="885" spans="1:53" ht="14.25" x14ac:dyDescent="0.2">
      <c r="A885" s="13"/>
      <c r="B885" s="14"/>
      <c r="C885" s="15"/>
      <c r="D885" s="15"/>
      <c r="E885" s="91"/>
      <c r="F885" s="17"/>
      <c r="G885" s="17"/>
      <c r="H885" s="15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40"/>
      <c r="T885" s="17"/>
      <c r="U885" s="17"/>
      <c r="V885" s="15"/>
      <c r="W885" s="92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  <c r="BA885" s="15"/>
    </row>
    <row r="886" spans="1:53" ht="14.25" x14ac:dyDescent="0.2">
      <c r="A886" s="13"/>
      <c r="B886" s="14"/>
      <c r="C886" s="15"/>
      <c r="D886" s="15"/>
      <c r="E886" s="91"/>
      <c r="F886" s="17"/>
      <c r="G886" s="17"/>
      <c r="H886" s="15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40"/>
      <c r="T886" s="17"/>
      <c r="U886" s="17"/>
      <c r="V886" s="15"/>
      <c r="W886" s="92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  <c r="AT886" s="15"/>
      <c r="AU886" s="15"/>
      <c r="AV886" s="15"/>
      <c r="AW886" s="15"/>
      <c r="AX886" s="15"/>
      <c r="AY886" s="15"/>
      <c r="AZ886" s="15"/>
      <c r="BA886" s="15"/>
    </row>
    <row r="887" spans="1:53" ht="14.25" x14ac:dyDescent="0.2">
      <c r="A887" s="13"/>
      <c r="B887" s="14"/>
      <c r="C887" s="15"/>
      <c r="D887" s="15"/>
      <c r="E887" s="91"/>
      <c r="F887" s="17"/>
      <c r="G887" s="17"/>
      <c r="H887" s="15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40"/>
      <c r="T887" s="17"/>
      <c r="U887" s="17"/>
      <c r="V887" s="15"/>
      <c r="W887" s="92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/>
    </row>
    <row r="888" spans="1:53" ht="14.25" x14ac:dyDescent="0.2">
      <c r="A888" s="13"/>
      <c r="B888" s="14"/>
      <c r="C888" s="15"/>
      <c r="D888" s="15"/>
      <c r="E888" s="91"/>
      <c r="F888" s="17"/>
      <c r="G888" s="17"/>
      <c r="H888" s="15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40"/>
      <c r="T888" s="17"/>
      <c r="U888" s="17"/>
      <c r="V888" s="15"/>
      <c r="W888" s="92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  <c r="AS888" s="15"/>
      <c r="AT888" s="15"/>
      <c r="AU888" s="15"/>
      <c r="AV888" s="15"/>
      <c r="AW888" s="15"/>
      <c r="AX888" s="15"/>
      <c r="AY888" s="15"/>
      <c r="AZ888" s="15"/>
      <c r="BA888" s="15"/>
    </row>
    <row r="889" spans="1:53" ht="14.25" x14ac:dyDescent="0.2">
      <c r="A889" s="13"/>
      <c r="B889" s="14"/>
      <c r="C889" s="15"/>
      <c r="D889" s="15"/>
      <c r="E889" s="91"/>
      <c r="F889" s="17"/>
      <c r="G889" s="17"/>
      <c r="H889" s="15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40"/>
      <c r="T889" s="17"/>
      <c r="U889" s="17"/>
      <c r="V889" s="15"/>
      <c r="W889" s="92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  <c r="BA889" s="15"/>
    </row>
    <row r="890" spans="1:53" ht="14.25" x14ac:dyDescent="0.2">
      <c r="A890" s="13"/>
      <c r="B890" s="14"/>
      <c r="C890" s="15"/>
      <c r="D890" s="15"/>
      <c r="E890" s="91"/>
      <c r="F890" s="17"/>
      <c r="G890" s="17"/>
      <c r="H890" s="15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40"/>
      <c r="T890" s="17"/>
      <c r="U890" s="17"/>
      <c r="V890" s="15"/>
      <c r="W890" s="92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  <c r="AV890" s="15"/>
      <c r="AW890" s="15"/>
      <c r="AX890" s="15"/>
      <c r="AY890" s="15"/>
      <c r="AZ890" s="15"/>
      <c r="BA890" s="15"/>
    </row>
    <row r="891" spans="1:53" ht="14.25" x14ac:dyDescent="0.2">
      <c r="A891" s="13"/>
      <c r="B891" s="14"/>
      <c r="C891" s="15"/>
      <c r="D891" s="15"/>
      <c r="E891" s="91"/>
      <c r="F891" s="17"/>
      <c r="G891" s="17"/>
      <c r="H891" s="15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40"/>
      <c r="T891" s="17"/>
      <c r="U891" s="17"/>
      <c r="V891" s="15"/>
      <c r="W891" s="92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  <c r="BA891" s="15"/>
    </row>
    <row r="892" spans="1:53" ht="14.25" x14ac:dyDescent="0.2">
      <c r="A892" s="13"/>
      <c r="B892" s="14"/>
      <c r="C892" s="15"/>
      <c r="D892" s="15"/>
      <c r="E892" s="91"/>
      <c r="F892" s="17"/>
      <c r="G892" s="17"/>
      <c r="H892" s="15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40"/>
      <c r="T892" s="17"/>
      <c r="U892" s="17"/>
      <c r="V892" s="15"/>
      <c r="W892" s="92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  <c r="AV892" s="15"/>
      <c r="AW892" s="15"/>
      <c r="AX892" s="15"/>
      <c r="AY892" s="15"/>
      <c r="AZ892" s="15"/>
      <c r="BA892" s="15"/>
    </row>
    <row r="893" spans="1:53" ht="14.25" x14ac:dyDescent="0.2">
      <c r="A893" s="13"/>
      <c r="B893" s="14"/>
      <c r="C893" s="15"/>
      <c r="D893" s="15"/>
      <c r="E893" s="91"/>
      <c r="F893" s="17"/>
      <c r="G893" s="17"/>
      <c r="H893" s="15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40"/>
      <c r="T893" s="17"/>
      <c r="U893" s="17"/>
      <c r="V893" s="15"/>
      <c r="W893" s="92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  <c r="BA893" s="15"/>
    </row>
    <row r="894" spans="1:53" ht="14.25" x14ac:dyDescent="0.2">
      <c r="A894" s="13"/>
      <c r="B894" s="14"/>
      <c r="C894" s="15"/>
      <c r="D894" s="15"/>
      <c r="E894" s="91"/>
      <c r="F894" s="17"/>
      <c r="G894" s="17"/>
      <c r="H894" s="15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40"/>
      <c r="T894" s="17"/>
      <c r="U894" s="17"/>
      <c r="V894" s="15"/>
      <c r="W894" s="92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  <c r="AV894" s="15"/>
      <c r="AW894" s="15"/>
      <c r="AX894" s="15"/>
      <c r="AY894" s="15"/>
      <c r="AZ894" s="15"/>
      <c r="BA894" s="15"/>
    </row>
    <row r="895" spans="1:53" ht="14.25" x14ac:dyDescent="0.2">
      <c r="A895" s="13"/>
      <c r="B895" s="14"/>
      <c r="C895" s="15"/>
      <c r="D895" s="15"/>
      <c r="E895" s="91"/>
      <c r="F895" s="17"/>
      <c r="G895" s="17"/>
      <c r="H895" s="15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40"/>
      <c r="T895" s="17"/>
      <c r="U895" s="17"/>
      <c r="V895" s="15"/>
      <c r="W895" s="92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  <c r="BA895" s="15"/>
    </row>
    <row r="896" spans="1:53" ht="14.25" x14ac:dyDescent="0.2">
      <c r="A896" s="13"/>
      <c r="B896" s="14"/>
      <c r="C896" s="15"/>
      <c r="D896" s="15"/>
      <c r="E896" s="91"/>
      <c r="F896" s="17"/>
      <c r="G896" s="17"/>
      <c r="H896" s="15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40"/>
      <c r="T896" s="17"/>
      <c r="U896" s="17"/>
      <c r="V896" s="15"/>
      <c r="W896" s="92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  <c r="AS896" s="15"/>
      <c r="AT896" s="15"/>
      <c r="AU896" s="15"/>
      <c r="AV896" s="15"/>
      <c r="AW896" s="15"/>
      <c r="AX896" s="15"/>
      <c r="AY896" s="15"/>
      <c r="AZ896" s="15"/>
      <c r="BA896" s="15"/>
    </row>
    <row r="897" spans="1:53" ht="14.25" x14ac:dyDescent="0.2">
      <c r="A897" s="13"/>
      <c r="B897" s="14"/>
      <c r="C897" s="15"/>
      <c r="D897" s="15"/>
      <c r="E897" s="91"/>
      <c r="F897" s="17"/>
      <c r="G897" s="17"/>
      <c r="H897" s="15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40"/>
      <c r="T897" s="17"/>
      <c r="U897" s="17"/>
      <c r="V897" s="15"/>
      <c r="W897" s="92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  <c r="BA897" s="15"/>
    </row>
    <row r="898" spans="1:53" ht="14.25" x14ac:dyDescent="0.2">
      <c r="A898" s="13"/>
      <c r="B898" s="14"/>
      <c r="C898" s="15"/>
      <c r="D898" s="15"/>
      <c r="E898" s="91"/>
      <c r="F898" s="17"/>
      <c r="G898" s="17"/>
      <c r="H898" s="15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40"/>
      <c r="T898" s="17"/>
      <c r="U898" s="17"/>
      <c r="V898" s="15"/>
      <c r="W898" s="92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  <c r="AV898" s="15"/>
      <c r="AW898" s="15"/>
      <c r="AX898" s="15"/>
      <c r="AY898" s="15"/>
      <c r="AZ898" s="15"/>
      <c r="BA898" s="15"/>
    </row>
    <row r="899" spans="1:53" ht="14.25" x14ac:dyDescent="0.2">
      <c r="A899" s="13"/>
      <c r="B899" s="14"/>
      <c r="C899" s="15"/>
      <c r="D899" s="15"/>
      <c r="E899" s="91"/>
      <c r="F899" s="17"/>
      <c r="G899" s="17"/>
      <c r="H899" s="15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40"/>
      <c r="T899" s="17"/>
      <c r="U899" s="17"/>
      <c r="V899" s="15"/>
      <c r="W899" s="92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  <c r="BA899" s="15"/>
    </row>
    <row r="900" spans="1:53" ht="14.25" x14ac:dyDescent="0.2">
      <c r="A900" s="13"/>
      <c r="B900" s="14"/>
      <c r="C900" s="15"/>
      <c r="D900" s="15"/>
      <c r="E900" s="91"/>
      <c r="F900" s="17"/>
      <c r="G900" s="17"/>
      <c r="H900" s="15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40"/>
      <c r="T900" s="17"/>
      <c r="U900" s="17"/>
      <c r="V900" s="15"/>
      <c r="W900" s="92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R900" s="15"/>
      <c r="AS900" s="15"/>
      <c r="AT900" s="15"/>
      <c r="AU900" s="15"/>
      <c r="AV900" s="15"/>
      <c r="AW900" s="15"/>
      <c r="AX900" s="15"/>
      <c r="AY900" s="15"/>
      <c r="AZ900" s="15"/>
      <c r="BA900" s="15"/>
    </row>
    <row r="901" spans="1:53" ht="14.25" x14ac:dyDescent="0.2">
      <c r="A901" s="13"/>
      <c r="B901" s="14"/>
      <c r="C901" s="15"/>
      <c r="D901" s="15"/>
      <c r="E901" s="91"/>
      <c r="F901" s="17"/>
      <c r="G901" s="17"/>
      <c r="H901" s="15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40"/>
      <c r="T901" s="17"/>
      <c r="U901" s="17"/>
      <c r="V901" s="15"/>
      <c r="W901" s="92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  <c r="AZ901" s="15"/>
      <c r="BA901" s="15"/>
    </row>
    <row r="902" spans="1:53" ht="14.25" x14ac:dyDescent="0.2">
      <c r="A902" s="13"/>
      <c r="B902" s="14"/>
      <c r="C902" s="15"/>
      <c r="D902" s="15"/>
      <c r="E902" s="91"/>
      <c r="F902" s="17"/>
      <c r="G902" s="17"/>
      <c r="H902" s="15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40"/>
      <c r="T902" s="17"/>
      <c r="U902" s="17"/>
      <c r="V902" s="15"/>
      <c r="W902" s="92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  <c r="AS902" s="15"/>
      <c r="AT902" s="15"/>
      <c r="AU902" s="15"/>
      <c r="AV902" s="15"/>
      <c r="AW902" s="15"/>
      <c r="AX902" s="15"/>
      <c r="AY902" s="15"/>
      <c r="AZ902" s="15"/>
      <c r="BA902" s="15"/>
    </row>
    <row r="903" spans="1:53" ht="14.25" x14ac:dyDescent="0.2">
      <c r="A903" s="13"/>
      <c r="B903" s="14"/>
      <c r="C903" s="15"/>
      <c r="D903" s="15"/>
      <c r="E903" s="91"/>
      <c r="F903" s="17"/>
      <c r="G903" s="17"/>
      <c r="H903" s="15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40"/>
      <c r="T903" s="17"/>
      <c r="U903" s="17"/>
      <c r="V903" s="15"/>
      <c r="W903" s="92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  <c r="BA903" s="15"/>
    </row>
    <row r="904" spans="1:53" ht="14.25" x14ac:dyDescent="0.2">
      <c r="A904" s="13"/>
      <c r="B904" s="14"/>
      <c r="C904" s="15"/>
      <c r="D904" s="15"/>
      <c r="E904" s="91"/>
      <c r="F904" s="17"/>
      <c r="G904" s="17"/>
      <c r="H904" s="15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40"/>
      <c r="T904" s="17"/>
      <c r="U904" s="17"/>
      <c r="V904" s="15"/>
      <c r="W904" s="92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  <c r="AR904" s="15"/>
      <c r="AS904" s="15"/>
      <c r="AT904" s="15"/>
      <c r="AU904" s="15"/>
      <c r="AV904" s="15"/>
      <c r="AW904" s="15"/>
      <c r="AX904" s="15"/>
      <c r="AY904" s="15"/>
      <c r="AZ904" s="15"/>
      <c r="BA904" s="15"/>
    </row>
    <row r="905" spans="1:53" ht="14.25" x14ac:dyDescent="0.2">
      <c r="A905" s="13"/>
      <c r="B905" s="14"/>
      <c r="C905" s="15"/>
      <c r="D905" s="15"/>
      <c r="E905" s="91"/>
      <c r="F905" s="17"/>
      <c r="G905" s="17"/>
      <c r="H905" s="15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40"/>
      <c r="T905" s="17"/>
      <c r="U905" s="17"/>
      <c r="V905" s="15"/>
      <c r="W905" s="92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  <c r="BA905" s="15"/>
    </row>
    <row r="906" spans="1:53" ht="14.25" x14ac:dyDescent="0.2">
      <c r="A906" s="13"/>
      <c r="B906" s="14"/>
      <c r="C906" s="15"/>
      <c r="D906" s="15"/>
      <c r="E906" s="91"/>
      <c r="F906" s="17"/>
      <c r="G906" s="17"/>
      <c r="H906" s="15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40"/>
      <c r="T906" s="17"/>
      <c r="U906" s="17"/>
      <c r="V906" s="15"/>
      <c r="W906" s="92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  <c r="AR906" s="15"/>
      <c r="AS906" s="15"/>
      <c r="AT906" s="15"/>
      <c r="AU906" s="15"/>
      <c r="AV906" s="15"/>
      <c r="AW906" s="15"/>
      <c r="AX906" s="15"/>
      <c r="AY906" s="15"/>
      <c r="AZ906" s="15"/>
      <c r="BA906" s="15"/>
    </row>
    <row r="907" spans="1:53" ht="14.25" x14ac:dyDescent="0.2">
      <c r="A907" s="13"/>
      <c r="B907" s="14"/>
      <c r="C907" s="15"/>
      <c r="D907" s="15"/>
      <c r="E907" s="91"/>
      <c r="F907" s="17"/>
      <c r="G907" s="17"/>
      <c r="H907" s="15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40"/>
      <c r="T907" s="17"/>
      <c r="U907" s="17"/>
      <c r="V907" s="15"/>
      <c r="W907" s="92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  <c r="BA907" s="15"/>
    </row>
    <row r="908" spans="1:53" ht="14.25" x14ac:dyDescent="0.2">
      <c r="A908" s="13"/>
      <c r="B908" s="14"/>
      <c r="C908" s="15"/>
      <c r="D908" s="15"/>
      <c r="E908" s="91"/>
      <c r="F908" s="17"/>
      <c r="G908" s="17"/>
      <c r="H908" s="15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40"/>
      <c r="T908" s="17"/>
      <c r="U908" s="17"/>
      <c r="V908" s="15"/>
      <c r="W908" s="92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  <c r="AT908" s="15"/>
      <c r="AU908" s="15"/>
      <c r="AV908" s="15"/>
      <c r="AW908" s="15"/>
      <c r="AX908" s="15"/>
      <c r="AY908" s="15"/>
      <c r="AZ908" s="15"/>
      <c r="BA908" s="15"/>
    </row>
    <row r="909" spans="1:53" ht="14.25" x14ac:dyDescent="0.2">
      <c r="A909" s="13"/>
      <c r="B909" s="14"/>
      <c r="C909" s="15"/>
      <c r="D909" s="15"/>
      <c r="E909" s="91"/>
      <c r="F909" s="17"/>
      <c r="G909" s="17"/>
      <c r="H909" s="15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40"/>
      <c r="T909" s="17"/>
      <c r="U909" s="17"/>
      <c r="V909" s="15"/>
      <c r="W909" s="92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  <c r="BA909" s="15"/>
    </row>
    <row r="910" spans="1:53" ht="14.25" x14ac:dyDescent="0.2">
      <c r="A910" s="13"/>
      <c r="B910" s="14"/>
      <c r="C910" s="15"/>
      <c r="D910" s="15"/>
      <c r="E910" s="91"/>
      <c r="F910" s="17"/>
      <c r="G910" s="17"/>
      <c r="H910" s="15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40"/>
      <c r="T910" s="17"/>
      <c r="U910" s="17"/>
      <c r="V910" s="15"/>
      <c r="W910" s="92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R910" s="15"/>
      <c r="AS910" s="15"/>
      <c r="AT910" s="15"/>
      <c r="AU910" s="15"/>
      <c r="AV910" s="15"/>
      <c r="AW910" s="15"/>
      <c r="AX910" s="15"/>
      <c r="AY910" s="15"/>
      <c r="AZ910" s="15"/>
      <c r="BA910" s="15"/>
    </row>
    <row r="911" spans="1:53" ht="14.25" x14ac:dyDescent="0.2">
      <c r="A911" s="13"/>
      <c r="B911" s="14"/>
      <c r="C911" s="15"/>
      <c r="D911" s="15"/>
      <c r="E911" s="91"/>
      <c r="F911" s="17"/>
      <c r="G911" s="17"/>
      <c r="H911" s="15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40"/>
      <c r="T911" s="17"/>
      <c r="U911" s="17"/>
      <c r="V911" s="15"/>
      <c r="W911" s="92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  <c r="BA911" s="15"/>
    </row>
    <row r="912" spans="1:53" ht="14.25" x14ac:dyDescent="0.2">
      <c r="A912" s="13"/>
      <c r="B912" s="14"/>
      <c r="C912" s="15"/>
      <c r="D912" s="15"/>
      <c r="E912" s="91"/>
      <c r="F912" s="17"/>
      <c r="G912" s="17"/>
      <c r="H912" s="15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40"/>
      <c r="T912" s="17"/>
      <c r="U912" s="17"/>
      <c r="V912" s="15"/>
      <c r="W912" s="92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/>
      <c r="AS912" s="15"/>
      <c r="AT912" s="15"/>
      <c r="AU912" s="15"/>
      <c r="AV912" s="15"/>
      <c r="AW912" s="15"/>
      <c r="AX912" s="15"/>
      <c r="AY912" s="15"/>
      <c r="AZ912" s="15"/>
      <c r="BA912" s="15"/>
    </row>
    <row r="913" spans="1:53" ht="14.25" x14ac:dyDescent="0.2">
      <c r="A913" s="13"/>
      <c r="B913" s="14"/>
      <c r="C913" s="15"/>
      <c r="D913" s="15"/>
      <c r="E913" s="91"/>
      <c r="F913" s="17"/>
      <c r="G913" s="17"/>
      <c r="H913" s="15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40"/>
      <c r="T913" s="17"/>
      <c r="U913" s="17"/>
      <c r="V913" s="15"/>
      <c r="W913" s="92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  <c r="BA913" s="15"/>
    </row>
    <row r="914" spans="1:53" ht="14.25" x14ac:dyDescent="0.2">
      <c r="A914" s="13"/>
      <c r="B914" s="14"/>
      <c r="C914" s="15"/>
      <c r="D914" s="15"/>
      <c r="E914" s="91"/>
      <c r="F914" s="17"/>
      <c r="G914" s="17"/>
      <c r="H914" s="15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40"/>
      <c r="T914" s="17"/>
      <c r="U914" s="17"/>
      <c r="V914" s="15"/>
      <c r="W914" s="92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  <c r="AS914" s="15"/>
      <c r="AT914" s="15"/>
      <c r="AU914" s="15"/>
      <c r="AV914" s="15"/>
      <c r="AW914" s="15"/>
      <c r="AX914" s="15"/>
      <c r="AY914" s="15"/>
      <c r="AZ914" s="15"/>
      <c r="BA914" s="15"/>
    </row>
    <row r="915" spans="1:53" ht="14.25" x14ac:dyDescent="0.2">
      <c r="A915" s="13"/>
      <c r="B915" s="14"/>
      <c r="C915" s="15"/>
      <c r="D915" s="15"/>
      <c r="E915" s="91"/>
      <c r="F915" s="17"/>
      <c r="G915" s="17"/>
      <c r="H915" s="15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40"/>
      <c r="T915" s="17"/>
      <c r="U915" s="17"/>
      <c r="V915" s="15"/>
      <c r="W915" s="92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  <c r="BA915" s="15"/>
    </row>
    <row r="916" spans="1:53" ht="14.25" x14ac:dyDescent="0.2">
      <c r="A916" s="13"/>
      <c r="B916" s="14"/>
      <c r="C916" s="15"/>
      <c r="D916" s="15"/>
      <c r="E916" s="91"/>
      <c r="F916" s="17"/>
      <c r="G916" s="17"/>
      <c r="H916" s="15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40"/>
      <c r="T916" s="17"/>
      <c r="U916" s="17"/>
      <c r="V916" s="15"/>
      <c r="W916" s="92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  <c r="AV916" s="15"/>
      <c r="AW916" s="15"/>
      <c r="AX916" s="15"/>
      <c r="AY916" s="15"/>
      <c r="AZ916" s="15"/>
      <c r="BA916" s="15"/>
    </row>
    <row r="917" spans="1:53" ht="14.25" x14ac:dyDescent="0.2">
      <c r="A917" s="13"/>
      <c r="B917" s="14"/>
      <c r="C917" s="15"/>
      <c r="D917" s="15"/>
      <c r="E917" s="91"/>
      <c r="F917" s="17"/>
      <c r="G917" s="17"/>
      <c r="H917" s="15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40"/>
      <c r="T917" s="17"/>
      <c r="U917" s="17"/>
      <c r="V917" s="15"/>
      <c r="W917" s="92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  <c r="BA917" s="15"/>
    </row>
    <row r="918" spans="1:53" ht="14.25" x14ac:dyDescent="0.2">
      <c r="A918" s="13"/>
      <c r="B918" s="14"/>
      <c r="C918" s="15"/>
      <c r="D918" s="15"/>
      <c r="E918" s="91"/>
      <c r="F918" s="17"/>
      <c r="G918" s="17"/>
      <c r="H918" s="15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40"/>
      <c r="T918" s="17"/>
      <c r="U918" s="17"/>
      <c r="V918" s="15"/>
      <c r="W918" s="92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  <c r="AR918" s="15"/>
      <c r="AS918" s="15"/>
      <c r="AT918" s="15"/>
      <c r="AU918" s="15"/>
      <c r="AV918" s="15"/>
      <c r="AW918" s="15"/>
      <c r="AX918" s="15"/>
      <c r="AY918" s="15"/>
      <c r="AZ918" s="15"/>
      <c r="BA918" s="15"/>
    </row>
    <row r="919" spans="1:53" ht="14.25" x14ac:dyDescent="0.2">
      <c r="A919" s="13"/>
      <c r="B919" s="14"/>
      <c r="C919" s="15"/>
      <c r="D919" s="15"/>
      <c r="E919" s="91"/>
      <c r="F919" s="17"/>
      <c r="G919" s="17"/>
      <c r="H919" s="15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40"/>
      <c r="T919" s="17"/>
      <c r="U919" s="17"/>
      <c r="V919" s="15"/>
      <c r="W919" s="92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  <c r="BA919" s="15"/>
    </row>
    <row r="920" spans="1:53" ht="14.25" x14ac:dyDescent="0.2">
      <c r="A920" s="13"/>
      <c r="B920" s="14"/>
      <c r="C920" s="15"/>
      <c r="D920" s="15"/>
      <c r="E920" s="91"/>
      <c r="F920" s="17"/>
      <c r="G920" s="17"/>
      <c r="H920" s="15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40"/>
      <c r="T920" s="17"/>
      <c r="U920" s="17"/>
      <c r="V920" s="15"/>
      <c r="W920" s="92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  <c r="AW920" s="15"/>
      <c r="AX920" s="15"/>
      <c r="AY920" s="15"/>
      <c r="AZ920" s="15"/>
      <c r="BA920" s="15"/>
    </row>
    <row r="921" spans="1:53" ht="14.25" x14ac:dyDescent="0.2">
      <c r="A921" s="13"/>
      <c r="B921" s="14"/>
      <c r="C921" s="15"/>
      <c r="D921" s="15"/>
      <c r="E921" s="91"/>
      <c r="F921" s="17"/>
      <c r="G921" s="17"/>
      <c r="H921" s="15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40"/>
      <c r="T921" s="17"/>
      <c r="U921" s="17"/>
      <c r="V921" s="15"/>
      <c r="W921" s="92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  <c r="BA921" s="15"/>
    </row>
    <row r="922" spans="1:53" ht="14.25" x14ac:dyDescent="0.2">
      <c r="A922" s="13"/>
      <c r="B922" s="14"/>
      <c r="C922" s="15"/>
      <c r="D922" s="15"/>
      <c r="E922" s="91"/>
      <c r="F922" s="17"/>
      <c r="G922" s="17"/>
      <c r="H922" s="15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40"/>
      <c r="T922" s="17"/>
      <c r="U922" s="17"/>
      <c r="V922" s="15"/>
      <c r="W922" s="92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R922" s="15"/>
      <c r="AS922" s="15"/>
      <c r="AT922" s="15"/>
      <c r="AU922" s="15"/>
      <c r="AV922" s="15"/>
      <c r="AW922" s="15"/>
      <c r="AX922" s="15"/>
      <c r="AY922" s="15"/>
      <c r="AZ922" s="15"/>
      <c r="BA922" s="15"/>
    </row>
    <row r="923" spans="1:53" ht="14.25" x14ac:dyDescent="0.2">
      <c r="A923" s="13"/>
      <c r="B923" s="14"/>
      <c r="C923" s="15"/>
      <c r="D923" s="15"/>
      <c r="E923" s="91"/>
      <c r="F923" s="17"/>
      <c r="G923" s="17"/>
      <c r="H923" s="15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40"/>
      <c r="T923" s="17"/>
      <c r="U923" s="17"/>
      <c r="V923" s="15"/>
      <c r="W923" s="92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  <c r="BA923" s="15"/>
    </row>
    <row r="924" spans="1:53" ht="14.25" x14ac:dyDescent="0.2">
      <c r="A924" s="13"/>
      <c r="B924" s="14"/>
      <c r="C924" s="15"/>
      <c r="D924" s="15"/>
      <c r="E924" s="91"/>
      <c r="F924" s="17"/>
      <c r="G924" s="17"/>
      <c r="H924" s="15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40"/>
      <c r="T924" s="17"/>
      <c r="U924" s="17"/>
      <c r="V924" s="15"/>
      <c r="W924" s="92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  <c r="AS924" s="15"/>
      <c r="AT924" s="15"/>
      <c r="AU924" s="15"/>
      <c r="AV924" s="15"/>
      <c r="AW924" s="15"/>
      <c r="AX924" s="15"/>
      <c r="AY924" s="15"/>
      <c r="AZ924" s="15"/>
      <c r="BA924" s="15"/>
    </row>
    <row r="925" spans="1:53" ht="14.25" x14ac:dyDescent="0.2">
      <c r="A925" s="13"/>
      <c r="B925" s="14"/>
      <c r="C925" s="15"/>
      <c r="D925" s="15"/>
      <c r="E925" s="91"/>
      <c r="F925" s="17"/>
      <c r="G925" s="17"/>
      <c r="H925" s="15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40"/>
      <c r="T925" s="17"/>
      <c r="U925" s="17"/>
      <c r="V925" s="15"/>
      <c r="W925" s="92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  <c r="BA925" s="15"/>
    </row>
    <row r="926" spans="1:53" ht="14.25" x14ac:dyDescent="0.2">
      <c r="A926" s="13"/>
      <c r="B926" s="14"/>
      <c r="C926" s="15"/>
      <c r="D926" s="15"/>
      <c r="E926" s="91"/>
      <c r="F926" s="17"/>
      <c r="G926" s="17"/>
      <c r="H926" s="15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40"/>
      <c r="T926" s="17"/>
      <c r="U926" s="17"/>
      <c r="V926" s="15"/>
      <c r="W926" s="92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R926" s="15"/>
      <c r="AS926" s="15"/>
      <c r="AT926" s="15"/>
      <c r="AU926" s="15"/>
      <c r="AV926" s="15"/>
      <c r="AW926" s="15"/>
      <c r="AX926" s="15"/>
      <c r="AY926" s="15"/>
      <c r="AZ926" s="15"/>
      <c r="BA926" s="15"/>
    </row>
    <row r="927" spans="1:53" ht="14.25" x14ac:dyDescent="0.2">
      <c r="A927" s="13"/>
      <c r="B927" s="14"/>
      <c r="C927" s="15"/>
      <c r="D927" s="15"/>
      <c r="E927" s="91"/>
      <c r="F927" s="17"/>
      <c r="G927" s="17"/>
      <c r="H927" s="15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40"/>
      <c r="T927" s="17"/>
      <c r="U927" s="17"/>
      <c r="V927" s="15"/>
      <c r="W927" s="92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  <c r="BA927" s="15"/>
    </row>
    <row r="928" spans="1:53" ht="14.25" x14ac:dyDescent="0.2">
      <c r="A928" s="13"/>
      <c r="B928" s="14"/>
      <c r="C928" s="15"/>
      <c r="D928" s="15"/>
      <c r="E928" s="91"/>
      <c r="F928" s="17"/>
      <c r="G928" s="17"/>
      <c r="H928" s="15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40"/>
      <c r="T928" s="17"/>
      <c r="U928" s="17"/>
      <c r="V928" s="15"/>
      <c r="W928" s="92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  <c r="AR928" s="15"/>
      <c r="AS928" s="15"/>
      <c r="AT928" s="15"/>
      <c r="AU928" s="15"/>
      <c r="AV928" s="15"/>
      <c r="AW928" s="15"/>
      <c r="AX928" s="15"/>
      <c r="AY928" s="15"/>
      <c r="AZ928" s="15"/>
      <c r="BA928" s="15"/>
    </row>
    <row r="929" spans="1:53" ht="14.25" x14ac:dyDescent="0.2">
      <c r="A929" s="13"/>
      <c r="B929" s="14"/>
      <c r="C929" s="15"/>
      <c r="D929" s="15"/>
      <c r="E929" s="91"/>
      <c r="F929" s="17"/>
      <c r="G929" s="17"/>
      <c r="H929" s="15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40"/>
      <c r="T929" s="17"/>
      <c r="U929" s="17"/>
      <c r="V929" s="15"/>
      <c r="W929" s="92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  <c r="BA929" s="15"/>
    </row>
    <row r="930" spans="1:53" ht="14.25" x14ac:dyDescent="0.2">
      <c r="A930" s="13"/>
      <c r="B930" s="14"/>
      <c r="C930" s="15"/>
      <c r="D930" s="15"/>
      <c r="E930" s="91"/>
      <c r="F930" s="17"/>
      <c r="G930" s="17"/>
      <c r="H930" s="15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40"/>
      <c r="T930" s="17"/>
      <c r="U930" s="17"/>
      <c r="V930" s="15"/>
      <c r="W930" s="92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R930" s="15"/>
      <c r="AS930" s="15"/>
      <c r="AT930" s="15"/>
      <c r="AU930" s="15"/>
      <c r="AV930" s="15"/>
      <c r="AW930" s="15"/>
      <c r="AX930" s="15"/>
      <c r="AY930" s="15"/>
      <c r="AZ930" s="15"/>
      <c r="BA930" s="15"/>
    </row>
    <row r="931" spans="1:53" ht="14.25" x14ac:dyDescent="0.2">
      <c r="A931" s="13"/>
      <c r="B931" s="14"/>
      <c r="C931" s="15"/>
      <c r="D931" s="15"/>
      <c r="E931" s="91"/>
      <c r="F931" s="17"/>
      <c r="G931" s="17"/>
      <c r="H931" s="15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40"/>
      <c r="T931" s="17"/>
      <c r="U931" s="17"/>
      <c r="V931" s="15"/>
      <c r="W931" s="92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  <c r="AZ931" s="15"/>
      <c r="BA931" s="15"/>
    </row>
    <row r="932" spans="1:53" ht="14.25" x14ac:dyDescent="0.2">
      <c r="A932" s="13"/>
      <c r="B932" s="14"/>
      <c r="C932" s="15"/>
      <c r="D932" s="15"/>
      <c r="E932" s="91"/>
      <c r="F932" s="17"/>
      <c r="G932" s="17"/>
      <c r="H932" s="15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40"/>
      <c r="T932" s="17"/>
      <c r="U932" s="17"/>
      <c r="V932" s="15"/>
      <c r="W932" s="92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R932" s="15"/>
      <c r="AS932" s="15"/>
      <c r="AT932" s="15"/>
      <c r="AU932" s="15"/>
      <c r="AV932" s="15"/>
      <c r="AW932" s="15"/>
      <c r="AX932" s="15"/>
      <c r="AY932" s="15"/>
      <c r="AZ932" s="15"/>
      <c r="BA932" s="15"/>
    </row>
    <row r="933" spans="1:53" ht="14.25" x14ac:dyDescent="0.2">
      <c r="A933" s="13"/>
      <c r="B933" s="14"/>
      <c r="C933" s="15"/>
      <c r="D933" s="15"/>
      <c r="E933" s="91"/>
      <c r="F933" s="17"/>
      <c r="G933" s="17"/>
      <c r="H933" s="15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40"/>
      <c r="T933" s="17"/>
      <c r="U933" s="17"/>
      <c r="V933" s="15"/>
      <c r="W933" s="92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  <c r="BA933" s="15"/>
    </row>
    <row r="934" spans="1:53" ht="14.25" x14ac:dyDescent="0.2">
      <c r="A934" s="13"/>
      <c r="B934" s="14"/>
      <c r="C934" s="15"/>
      <c r="D934" s="15"/>
      <c r="E934" s="91"/>
      <c r="F934" s="17"/>
      <c r="G934" s="17"/>
      <c r="H934" s="15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40"/>
      <c r="T934" s="17"/>
      <c r="U934" s="17"/>
      <c r="V934" s="15"/>
      <c r="W934" s="92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  <c r="AR934" s="15"/>
      <c r="AS934" s="15"/>
      <c r="AT934" s="15"/>
      <c r="AU934" s="15"/>
      <c r="AV934" s="15"/>
      <c r="AW934" s="15"/>
      <c r="AX934" s="15"/>
      <c r="AY934" s="15"/>
      <c r="AZ934" s="15"/>
      <c r="BA934" s="15"/>
    </row>
    <row r="935" spans="1:53" ht="14.25" x14ac:dyDescent="0.2">
      <c r="A935" s="13"/>
      <c r="B935" s="14"/>
      <c r="C935" s="15"/>
      <c r="D935" s="15"/>
      <c r="E935" s="91"/>
      <c r="F935" s="17"/>
      <c r="G935" s="17"/>
      <c r="H935" s="15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40"/>
      <c r="T935" s="17"/>
      <c r="U935" s="17"/>
      <c r="V935" s="15"/>
      <c r="W935" s="92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  <c r="BA935" s="15"/>
    </row>
    <row r="936" spans="1:53" ht="14.25" x14ac:dyDescent="0.2">
      <c r="A936" s="13"/>
      <c r="B936" s="14"/>
      <c r="C936" s="15"/>
      <c r="D936" s="15"/>
      <c r="E936" s="91"/>
      <c r="F936" s="17"/>
      <c r="G936" s="17"/>
      <c r="H936" s="15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40"/>
      <c r="T936" s="17"/>
      <c r="U936" s="17"/>
      <c r="V936" s="15"/>
      <c r="W936" s="92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  <c r="AS936" s="15"/>
      <c r="AT936" s="15"/>
      <c r="AU936" s="15"/>
      <c r="AV936" s="15"/>
      <c r="AW936" s="15"/>
      <c r="AX936" s="15"/>
      <c r="AY936" s="15"/>
      <c r="AZ936" s="15"/>
      <c r="BA936" s="15"/>
    </row>
    <row r="937" spans="1:53" ht="14.25" x14ac:dyDescent="0.2">
      <c r="A937" s="13"/>
      <c r="B937" s="14"/>
      <c r="C937" s="15"/>
      <c r="D937" s="15"/>
      <c r="E937" s="91"/>
      <c r="F937" s="17"/>
      <c r="G937" s="17"/>
      <c r="H937" s="15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40"/>
      <c r="T937" s="17"/>
      <c r="U937" s="17"/>
      <c r="V937" s="15"/>
      <c r="W937" s="92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  <c r="BA937" s="15"/>
    </row>
    <row r="938" spans="1:53" ht="14.25" x14ac:dyDescent="0.2">
      <c r="A938" s="13"/>
      <c r="B938" s="14"/>
      <c r="C938" s="15"/>
      <c r="D938" s="15"/>
      <c r="E938" s="91"/>
      <c r="F938" s="17"/>
      <c r="G938" s="17"/>
      <c r="H938" s="15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40"/>
      <c r="T938" s="17"/>
      <c r="U938" s="17"/>
      <c r="V938" s="15"/>
      <c r="W938" s="92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  <c r="AR938" s="15"/>
      <c r="AS938" s="15"/>
      <c r="AT938" s="15"/>
      <c r="AU938" s="15"/>
      <c r="AV938" s="15"/>
      <c r="AW938" s="15"/>
      <c r="AX938" s="15"/>
      <c r="AY938" s="15"/>
      <c r="AZ938" s="15"/>
      <c r="BA938" s="15"/>
    </row>
    <row r="939" spans="1:53" ht="14.25" x14ac:dyDescent="0.2">
      <c r="A939" s="13"/>
      <c r="B939" s="14"/>
      <c r="C939" s="15"/>
      <c r="D939" s="15"/>
      <c r="E939" s="91"/>
      <c r="F939" s="17"/>
      <c r="G939" s="17"/>
      <c r="H939" s="15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40"/>
      <c r="T939" s="17"/>
      <c r="U939" s="17"/>
      <c r="V939" s="15"/>
      <c r="W939" s="92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  <c r="AZ939" s="15"/>
      <c r="BA939" s="15"/>
    </row>
    <row r="940" spans="1:53" ht="14.25" x14ac:dyDescent="0.2">
      <c r="A940" s="13"/>
      <c r="B940" s="14"/>
      <c r="C940" s="15"/>
      <c r="D940" s="15"/>
      <c r="E940" s="91"/>
      <c r="F940" s="17"/>
      <c r="G940" s="17"/>
      <c r="H940" s="15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40"/>
      <c r="T940" s="17"/>
      <c r="U940" s="17"/>
      <c r="V940" s="15"/>
      <c r="W940" s="92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  <c r="AU940" s="15"/>
      <c r="AV940" s="15"/>
      <c r="AW940" s="15"/>
      <c r="AX940" s="15"/>
      <c r="AY940" s="15"/>
      <c r="AZ940" s="15"/>
      <c r="BA940" s="15"/>
    </row>
    <row r="941" spans="1:53" ht="14.25" x14ac:dyDescent="0.2">
      <c r="A941" s="13"/>
      <c r="B941" s="14"/>
      <c r="C941" s="15"/>
      <c r="D941" s="15"/>
      <c r="E941" s="91"/>
      <c r="F941" s="17"/>
      <c r="G941" s="17"/>
      <c r="H941" s="15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40"/>
      <c r="T941" s="17"/>
      <c r="U941" s="17"/>
      <c r="V941" s="15"/>
      <c r="W941" s="92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  <c r="BA941" s="15"/>
    </row>
    <row r="942" spans="1:53" ht="14.25" x14ac:dyDescent="0.2">
      <c r="A942" s="13"/>
      <c r="B942" s="14"/>
      <c r="C942" s="15"/>
      <c r="D942" s="15"/>
      <c r="E942" s="91"/>
      <c r="F942" s="17"/>
      <c r="G942" s="17"/>
      <c r="H942" s="15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40"/>
      <c r="T942" s="17"/>
      <c r="U942" s="17"/>
      <c r="V942" s="15"/>
      <c r="W942" s="92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  <c r="AR942" s="15"/>
      <c r="AS942" s="15"/>
      <c r="AT942" s="15"/>
      <c r="AU942" s="15"/>
      <c r="AV942" s="15"/>
      <c r="AW942" s="15"/>
      <c r="AX942" s="15"/>
      <c r="AY942" s="15"/>
      <c r="AZ942" s="15"/>
      <c r="BA942" s="15"/>
    </row>
    <row r="943" spans="1:53" ht="14.25" x14ac:dyDescent="0.2">
      <c r="A943" s="13"/>
      <c r="B943" s="14"/>
      <c r="C943" s="15"/>
      <c r="D943" s="15"/>
      <c r="E943" s="91"/>
      <c r="F943" s="17"/>
      <c r="G943" s="17"/>
      <c r="H943" s="15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40"/>
      <c r="T943" s="17"/>
      <c r="U943" s="17"/>
      <c r="V943" s="15"/>
      <c r="W943" s="92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  <c r="AX943" s="15"/>
      <c r="AY943" s="15"/>
      <c r="AZ943" s="15"/>
      <c r="BA943" s="15"/>
    </row>
    <row r="944" spans="1:53" ht="14.25" x14ac:dyDescent="0.2">
      <c r="A944" s="13"/>
      <c r="B944" s="14"/>
      <c r="C944" s="15"/>
      <c r="D944" s="15"/>
      <c r="E944" s="91"/>
      <c r="F944" s="17"/>
      <c r="G944" s="17"/>
      <c r="H944" s="15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40"/>
      <c r="T944" s="17"/>
      <c r="U944" s="17"/>
      <c r="V944" s="15"/>
      <c r="W944" s="92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  <c r="AU944" s="15"/>
      <c r="AV944" s="15"/>
      <c r="AW944" s="15"/>
      <c r="AX944" s="15"/>
      <c r="AY944" s="15"/>
      <c r="AZ944" s="15"/>
      <c r="BA944" s="15"/>
    </row>
    <row r="945" spans="1:53" ht="14.25" x14ac:dyDescent="0.2">
      <c r="A945" s="13"/>
      <c r="B945" s="14"/>
      <c r="C945" s="15"/>
      <c r="D945" s="15"/>
      <c r="E945" s="91"/>
      <c r="F945" s="17"/>
      <c r="G945" s="17"/>
      <c r="H945" s="15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40"/>
      <c r="T945" s="17"/>
      <c r="U945" s="17"/>
      <c r="V945" s="15"/>
      <c r="W945" s="92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  <c r="AX945" s="15"/>
      <c r="AY945" s="15"/>
      <c r="AZ945" s="15"/>
      <c r="BA945" s="15"/>
    </row>
    <row r="946" spans="1:53" ht="14.25" x14ac:dyDescent="0.2">
      <c r="A946" s="13"/>
      <c r="B946" s="14"/>
      <c r="C946" s="15"/>
      <c r="D946" s="15"/>
      <c r="E946" s="91"/>
      <c r="F946" s="17"/>
      <c r="G946" s="17"/>
      <c r="H946" s="15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40"/>
      <c r="T946" s="17"/>
      <c r="U946" s="17"/>
      <c r="V946" s="15"/>
      <c r="W946" s="92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  <c r="AS946" s="15"/>
      <c r="AT946" s="15"/>
      <c r="AU946" s="15"/>
      <c r="AV946" s="15"/>
      <c r="AW946" s="15"/>
      <c r="AX946" s="15"/>
      <c r="AY946" s="15"/>
      <c r="AZ946" s="15"/>
      <c r="BA946" s="15"/>
    </row>
    <row r="947" spans="1:53" ht="14.25" x14ac:dyDescent="0.2">
      <c r="A947" s="13"/>
      <c r="B947" s="14"/>
      <c r="C947" s="15"/>
      <c r="D947" s="15"/>
      <c r="E947" s="91"/>
      <c r="F947" s="17"/>
      <c r="G947" s="17"/>
      <c r="H947" s="15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40"/>
      <c r="T947" s="17"/>
      <c r="U947" s="17"/>
      <c r="V947" s="15"/>
      <c r="W947" s="92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  <c r="AX947" s="15"/>
      <c r="AY947" s="15"/>
      <c r="AZ947" s="15"/>
      <c r="BA947" s="15"/>
    </row>
    <row r="948" spans="1:53" ht="14.25" x14ac:dyDescent="0.2">
      <c r="A948" s="13"/>
      <c r="B948" s="14"/>
      <c r="C948" s="15"/>
      <c r="D948" s="15"/>
      <c r="E948" s="91"/>
      <c r="F948" s="17"/>
      <c r="G948" s="17"/>
      <c r="H948" s="15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40"/>
      <c r="T948" s="17"/>
      <c r="U948" s="17"/>
      <c r="V948" s="15"/>
      <c r="W948" s="92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  <c r="AV948" s="15"/>
      <c r="AW948" s="15"/>
      <c r="AX948" s="15"/>
      <c r="AY948" s="15"/>
      <c r="AZ948" s="15"/>
      <c r="BA948" s="15"/>
    </row>
    <row r="949" spans="1:53" ht="14.25" x14ac:dyDescent="0.2">
      <c r="A949" s="13"/>
      <c r="B949" s="14"/>
      <c r="C949" s="15"/>
      <c r="D949" s="15"/>
      <c r="E949" s="91"/>
      <c r="F949" s="17"/>
      <c r="G949" s="17"/>
      <c r="H949" s="15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40"/>
      <c r="T949" s="17"/>
      <c r="U949" s="17"/>
      <c r="V949" s="15"/>
      <c r="W949" s="92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  <c r="AX949" s="15"/>
      <c r="AY949" s="15"/>
      <c r="AZ949" s="15"/>
      <c r="BA949" s="15"/>
    </row>
    <row r="950" spans="1:53" ht="14.25" x14ac:dyDescent="0.2">
      <c r="A950" s="13"/>
      <c r="B950" s="14"/>
      <c r="C950" s="15"/>
      <c r="D950" s="15"/>
      <c r="E950" s="91"/>
      <c r="F950" s="17"/>
      <c r="G950" s="17"/>
      <c r="H950" s="15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40"/>
      <c r="T950" s="17"/>
      <c r="U950" s="17"/>
      <c r="V950" s="15"/>
      <c r="W950" s="92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  <c r="AR950" s="15"/>
      <c r="AS950" s="15"/>
      <c r="AT950" s="15"/>
      <c r="AU950" s="15"/>
      <c r="AV950" s="15"/>
      <c r="AW950" s="15"/>
      <c r="AX950" s="15"/>
      <c r="AY950" s="15"/>
      <c r="AZ950" s="15"/>
      <c r="BA950" s="15"/>
    </row>
    <row r="951" spans="1:53" ht="14.25" x14ac:dyDescent="0.2">
      <c r="A951" s="13"/>
      <c r="B951" s="14"/>
      <c r="C951" s="15"/>
      <c r="D951" s="15"/>
      <c r="E951" s="91"/>
      <c r="F951" s="17"/>
      <c r="G951" s="17"/>
      <c r="H951" s="15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40"/>
      <c r="T951" s="17"/>
      <c r="U951" s="17"/>
      <c r="V951" s="15"/>
      <c r="W951" s="92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  <c r="AX951" s="15"/>
      <c r="AY951" s="15"/>
      <c r="AZ951" s="15"/>
      <c r="BA951" s="15"/>
    </row>
    <row r="952" spans="1:53" ht="14.25" x14ac:dyDescent="0.2">
      <c r="A952" s="13"/>
      <c r="B952" s="14"/>
      <c r="C952" s="15"/>
      <c r="D952" s="15"/>
      <c r="E952" s="91"/>
      <c r="F952" s="17"/>
      <c r="G952" s="17"/>
      <c r="H952" s="15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40"/>
      <c r="T952" s="17"/>
      <c r="U952" s="17"/>
      <c r="V952" s="15"/>
      <c r="W952" s="92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  <c r="AS952" s="15"/>
      <c r="AT952" s="15"/>
      <c r="AU952" s="15"/>
      <c r="AV952" s="15"/>
      <c r="AW952" s="15"/>
      <c r="AX952" s="15"/>
      <c r="AY952" s="15"/>
      <c r="AZ952" s="15"/>
      <c r="BA952" s="15"/>
    </row>
    <row r="953" spans="1:53" ht="14.25" x14ac:dyDescent="0.2">
      <c r="A953" s="13"/>
      <c r="B953" s="14"/>
      <c r="C953" s="15"/>
      <c r="D953" s="15"/>
      <c r="E953" s="91"/>
      <c r="F953" s="17"/>
      <c r="G953" s="17"/>
      <c r="H953" s="15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40"/>
      <c r="T953" s="17"/>
      <c r="U953" s="17"/>
      <c r="V953" s="15"/>
      <c r="W953" s="92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5"/>
      <c r="AW953" s="15"/>
      <c r="AX953" s="15"/>
      <c r="AY953" s="15"/>
      <c r="AZ953" s="15"/>
      <c r="BA953" s="15"/>
    </row>
    <row r="954" spans="1:53" ht="14.25" x14ac:dyDescent="0.2">
      <c r="A954" s="13"/>
      <c r="B954" s="14"/>
      <c r="C954" s="15"/>
      <c r="D954" s="15"/>
      <c r="E954" s="91"/>
      <c r="F954" s="17"/>
      <c r="G954" s="17"/>
      <c r="H954" s="15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40"/>
      <c r="T954" s="17"/>
      <c r="U954" s="17"/>
      <c r="V954" s="15"/>
      <c r="W954" s="92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  <c r="AR954" s="15"/>
      <c r="AS954" s="15"/>
      <c r="AT954" s="15"/>
      <c r="AU954" s="15"/>
      <c r="AV954" s="15"/>
      <c r="AW954" s="15"/>
      <c r="AX954" s="15"/>
      <c r="AY954" s="15"/>
      <c r="AZ954" s="15"/>
      <c r="BA954" s="15"/>
    </row>
    <row r="955" spans="1:53" ht="14.25" x14ac:dyDescent="0.2">
      <c r="A955" s="13"/>
      <c r="B955" s="14"/>
      <c r="C955" s="15"/>
      <c r="D955" s="15"/>
      <c r="E955" s="91"/>
      <c r="F955" s="17"/>
      <c r="G955" s="17"/>
      <c r="H955" s="15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40"/>
      <c r="T955" s="17"/>
      <c r="U955" s="17"/>
      <c r="V955" s="15"/>
      <c r="W955" s="92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  <c r="AX955" s="15"/>
      <c r="AY955" s="15"/>
      <c r="AZ955" s="15"/>
      <c r="BA955" s="15"/>
    </row>
    <row r="956" spans="1:53" ht="14.25" x14ac:dyDescent="0.2">
      <c r="A956" s="13"/>
      <c r="B956" s="14"/>
      <c r="C956" s="15"/>
      <c r="D956" s="15"/>
      <c r="E956" s="91"/>
      <c r="F956" s="17"/>
      <c r="G956" s="17"/>
      <c r="H956" s="15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40"/>
      <c r="T956" s="17"/>
      <c r="U956" s="17"/>
      <c r="V956" s="15"/>
      <c r="W956" s="92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  <c r="AR956" s="15"/>
      <c r="AS956" s="15"/>
      <c r="AT956" s="15"/>
      <c r="AU956" s="15"/>
      <c r="AV956" s="15"/>
      <c r="AW956" s="15"/>
      <c r="AX956" s="15"/>
      <c r="AY956" s="15"/>
      <c r="AZ956" s="15"/>
      <c r="BA956" s="15"/>
    </row>
    <row r="957" spans="1:53" ht="14.25" x14ac:dyDescent="0.2">
      <c r="A957" s="13"/>
      <c r="B957" s="14"/>
      <c r="C957" s="15"/>
      <c r="D957" s="15"/>
      <c r="E957" s="91"/>
      <c r="F957" s="17"/>
      <c r="G957" s="17"/>
      <c r="H957" s="15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40"/>
      <c r="T957" s="17"/>
      <c r="U957" s="17"/>
      <c r="V957" s="15"/>
      <c r="W957" s="92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5"/>
      <c r="AX957" s="15"/>
      <c r="AY957" s="15"/>
      <c r="AZ957" s="15"/>
      <c r="BA957" s="15"/>
    </row>
    <row r="958" spans="1:53" ht="14.25" x14ac:dyDescent="0.2">
      <c r="A958" s="13"/>
      <c r="B958" s="14"/>
      <c r="C958" s="15"/>
      <c r="D958" s="15"/>
      <c r="E958" s="91"/>
      <c r="F958" s="17"/>
      <c r="G958" s="17"/>
      <c r="H958" s="15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40"/>
      <c r="T958" s="17"/>
      <c r="U958" s="17"/>
      <c r="V958" s="15"/>
      <c r="W958" s="92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  <c r="AO958" s="15"/>
      <c r="AP958" s="15"/>
      <c r="AQ958" s="15"/>
      <c r="AR958" s="15"/>
      <c r="AS958" s="15"/>
      <c r="AT958" s="15"/>
      <c r="AU958" s="15"/>
      <c r="AV958" s="15"/>
      <c r="AW958" s="15"/>
      <c r="AX958" s="15"/>
      <c r="AY958" s="15"/>
      <c r="AZ958" s="15"/>
      <c r="BA958" s="15"/>
    </row>
    <row r="959" spans="1:53" ht="14.25" x14ac:dyDescent="0.2">
      <c r="A959" s="13"/>
      <c r="B959" s="14"/>
      <c r="C959" s="15"/>
      <c r="D959" s="15"/>
      <c r="E959" s="91"/>
      <c r="F959" s="17"/>
      <c r="G959" s="17"/>
      <c r="H959" s="15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40"/>
      <c r="T959" s="17"/>
      <c r="U959" s="17"/>
      <c r="V959" s="15"/>
      <c r="W959" s="92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5"/>
      <c r="AW959" s="15"/>
      <c r="AX959" s="15"/>
      <c r="AY959" s="15"/>
      <c r="AZ959" s="15"/>
      <c r="BA959" s="15"/>
    </row>
    <row r="960" spans="1:53" ht="14.25" x14ac:dyDescent="0.2">
      <c r="A960" s="13"/>
      <c r="B960" s="14"/>
      <c r="C960" s="15"/>
      <c r="D960" s="15"/>
      <c r="E960" s="91"/>
      <c r="F960" s="17"/>
      <c r="G960" s="17"/>
      <c r="H960" s="15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40"/>
      <c r="T960" s="17"/>
      <c r="U960" s="17"/>
      <c r="V960" s="15"/>
      <c r="W960" s="92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  <c r="AP960" s="15"/>
      <c r="AQ960" s="15"/>
      <c r="AR960" s="15"/>
      <c r="AS960" s="15"/>
      <c r="AT960" s="15"/>
      <c r="AU960" s="15"/>
      <c r="AV960" s="15"/>
      <c r="AW960" s="15"/>
      <c r="AX960" s="15"/>
      <c r="AY960" s="15"/>
      <c r="AZ960" s="15"/>
      <c r="BA960" s="15"/>
    </row>
    <row r="961" spans="1:53" ht="14.25" x14ac:dyDescent="0.2">
      <c r="A961" s="13"/>
      <c r="B961" s="14"/>
      <c r="C961" s="15"/>
      <c r="D961" s="15"/>
      <c r="E961" s="91"/>
      <c r="F961" s="17"/>
      <c r="G961" s="17"/>
      <c r="H961" s="15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40"/>
      <c r="T961" s="17"/>
      <c r="U961" s="17"/>
      <c r="V961" s="15"/>
      <c r="W961" s="92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5"/>
      <c r="AW961" s="15"/>
      <c r="AX961" s="15"/>
      <c r="AY961" s="15"/>
      <c r="AZ961" s="15"/>
      <c r="BA961" s="15"/>
    </row>
    <row r="962" spans="1:53" ht="14.25" x14ac:dyDescent="0.2">
      <c r="A962" s="13"/>
      <c r="B962" s="14"/>
      <c r="C962" s="15"/>
      <c r="D962" s="15"/>
      <c r="E962" s="91"/>
      <c r="F962" s="17"/>
      <c r="G962" s="17"/>
      <c r="H962" s="15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40"/>
      <c r="T962" s="17"/>
      <c r="U962" s="17"/>
      <c r="V962" s="15"/>
      <c r="W962" s="92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  <c r="AP962" s="15"/>
      <c r="AQ962" s="15"/>
      <c r="AR962" s="15"/>
      <c r="AS962" s="15"/>
      <c r="AT962" s="15"/>
      <c r="AU962" s="15"/>
      <c r="AV962" s="15"/>
      <c r="AW962" s="15"/>
      <c r="AX962" s="15"/>
      <c r="AY962" s="15"/>
      <c r="AZ962" s="15"/>
      <c r="BA962" s="15"/>
    </row>
    <row r="963" spans="1:53" ht="14.25" x14ac:dyDescent="0.2">
      <c r="A963" s="13"/>
      <c r="B963" s="14"/>
      <c r="C963" s="15"/>
      <c r="D963" s="15"/>
      <c r="E963" s="91"/>
      <c r="F963" s="17"/>
      <c r="G963" s="17"/>
      <c r="H963" s="15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40"/>
      <c r="T963" s="17"/>
      <c r="U963" s="17"/>
      <c r="V963" s="15"/>
      <c r="W963" s="92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AV963" s="15"/>
      <c r="AW963" s="15"/>
      <c r="AX963" s="15"/>
      <c r="AY963" s="15"/>
      <c r="AZ963" s="15"/>
      <c r="BA963" s="15"/>
    </row>
    <row r="964" spans="1:53" ht="14.25" x14ac:dyDescent="0.2">
      <c r="A964" s="13"/>
      <c r="B964" s="14"/>
      <c r="C964" s="15"/>
      <c r="D964" s="15"/>
      <c r="E964" s="91"/>
      <c r="F964" s="17"/>
      <c r="G964" s="17"/>
      <c r="H964" s="15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40"/>
      <c r="T964" s="17"/>
      <c r="U964" s="17"/>
      <c r="V964" s="15"/>
      <c r="W964" s="92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  <c r="AR964" s="15"/>
      <c r="AS964" s="15"/>
      <c r="AT964" s="15"/>
      <c r="AU964" s="15"/>
      <c r="AV964" s="15"/>
      <c r="AW964" s="15"/>
      <c r="AX964" s="15"/>
      <c r="AY964" s="15"/>
      <c r="AZ964" s="15"/>
      <c r="BA964" s="15"/>
    </row>
    <row r="965" spans="1:53" ht="14.25" x14ac:dyDescent="0.2">
      <c r="A965" s="13"/>
      <c r="B965" s="14"/>
      <c r="C965" s="15"/>
      <c r="D965" s="15"/>
      <c r="E965" s="91"/>
      <c r="F965" s="17"/>
      <c r="G965" s="17"/>
      <c r="H965" s="15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40"/>
      <c r="T965" s="17"/>
      <c r="U965" s="17"/>
      <c r="V965" s="15"/>
      <c r="W965" s="92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5"/>
      <c r="AW965" s="15"/>
      <c r="AX965" s="15"/>
      <c r="AY965" s="15"/>
      <c r="AZ965" s="15"/>
      <c r="BA965" s="15"/>
    </row>
    <row r="966" spans="1:53" ht="14.25" x14ac:dyDescent="0.2">
      <c r="A966" s="13"/>
      <c r="B966" s="14"/>
      <c r="C966" s="15"/>
      <c r="D966" s="15"/>
      <c r="E966" s="91"/>
      <c r="F966" s="17"/>
      <c r="G966" s="17"/>
      <c r="H966" s="15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40"/>
      <c r="T966" s="17"/>
      <c r="U966" s="17"/>
      <c r="V966" s="15"/>
      <c r="W966" s="92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  <c r="AP966" s="15"/>
      <c r="AQ966" s="15"/>
      <c r="AR966" s="15"/>
      <c r="AS966" s="15"/>
      <c r="AT966" s="15"/>
      <c r="AU966" s="15"/>
      <c r="AV966" s="15"/>
      <c r="AW966" s="15"/>
      <c r="AX966" s="15"/>
      <c r="AY966" s="15"/>
      <c r="AZ966" s="15"/>
      <c r="BA966" s="15"/>
    </row>
    <row r="967" spans="1:53" ht="14.25" x14ac:dyDescent="0.2">
      <c r="A967" s="13"/>
      <c r="B967" s="14"/>
      <c r="C967" s="15"/>
      <c r="D967" s="15"/>
      <c r="E967" s="91"/>
      <c r="F967" s="17"/>
      <c r="G967" s="17"/>
      <c r="H967" s="15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40"/>
      <c r="T967" s="17"/>
      <c r="U967" s="17"/>
      <c r="V967" s="15"/>
      <c r="W967" s="92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5"/>
      <c r="AW967" s="15"/>
      <c r="AX967" s="15"/>
      <c r="AY967" s="15"/>
      <c r="AZ967" s="15"/>
      <c r="BA967" s="15"/>
    </row>
    <row r="968" spans="1:53" ht="14.25" x14ac:dyDescent="0.2">
      <c r="A968" s="13"/>
      <c r="B968" s="14"/>
      <c r="C968" s="15"/>
      <c r="D968" s="15"/>
      <c r="E968" s="91"/>
      <c r="F968" s="17"/>
      <c r="G968" s="17"/>
      <c r="H968" s="15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40"/>
      <c r="T968" s="17"/>
      <c r="U968" s="17"/>
      <c r="V968" s="15"/>
      <c r="W968" s="92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  <c r="AR968" s="15"/>
      <c r="AS968" s="15"/>
      <c r="AT968" s="15"/>
      <c r="AU968" s="15"/>
      <c r="AV968" s="15"/>
      <c r="AW968" s="15"/>
      <c r="AX968" s="15"/>
      <c r="AY968" s="15"/>
      <c r="AZ968" s="15"/>
      <c r="BA968" s="15"/>
    </row>
    <row r="969" spans="1:53" ht="14.25" x14ac:dyDescent="0.2">
      <c r="A969" s="13"/>
      <c r="B969" s="14"/>
      <c r="C969" s="15"/>
      <c r="D969" s="15"/>
      <c r="E969" s="91"/>
      <c r="F969" s="17"/>
      <c r="G969" s="17"/>
      <c r="H969" s="15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40"/>
      <c r="T969" s="17"/>
      <c r="U969" s="17"/>
      <c r="V969" s="15"/>
      <c r="W969" s="92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5"/>
      <c r="AW969" s="15"/>
      <c r="AX969" s="15"/>
      <c r="AY969" s="15"/>
      <c r="AZ969" s="15"/>
      <c r="BA969" s="15"/>
    </row>
    <row r="970" spans="1:53" ht="14.25" x14ac:dyDescent="0.2">
      <c r="A970" s="13"/>
      <c r="B970" s="14"/>
      <c r="C970" s="15"/>
      <c r="D970" s="15"/>
      <c r="E970" s="91"/>
      <c r="F970" s="17"/>
      <c r="G970" s="17"/>
      <c r="H970" s="15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40"/>
      <c r="T970" s="17"/>
      <c r="U970" s="17"/>
      <c r="V970" s="15"/>
      <c r="W970" s="92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  <c r="AP970" s="15"/>
      <c r="AQ970" s="15"/>
      <c r="AR970" s="15"/>
      <c r="AS970" s="15"/>
      <c r="AT970" s="15"/>
      <c r="AU970" s="15"/>
      <c r="AV970" s="15"/>
      <c r="AW970" s="15"/>
      <c r="AX970" s="15"/>
      <c r="AY970" s="15"/>
      <c r="AZ970" s="15"/>
      <c r="BA970" s="15"/>
    </row>
    <row r="971" spans="1:53" ht="14.25" x14ac:dyDescent="0.2">
      <c r="A971" s="13"/>
      <c r="B971" s="14"/>
      <c r="C971" s="15"/>
      <c r="D971" s="15"/>
      <c r="E971" s="91"/>
      <c r="F971" s="17"/>
      <c r="G971" s="17"/>
      <c r="H971" s="15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40"/>
      <c r="T971" s="17"/>
      <c r="U971" s="17"/>
      <c r="V971" s="15"/>
      <c r="W971" s="92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5"/>
      <c r="AW971" s="15"/>
      <c r="AX971" s="15"/>
      <c r="AY971" s="15"/>
      <c r="AZ971" s="15"/>
      <c r="BA971" s="15"/>
    </row>
    <row r="972" spans="1:53" ht="14.25" x14ac:dyDescent="0.2">
      <c r="A972" s="13"/>
      <c r="B972" s="14"/>
      <c r="C972" s="15"/>
      <c r="D972" s="15"/>
      <c r="E972" s="91"/>
      <c r="F972" s="17"/>
      <c r="G972" s="17"/>
      <c r="H972" s="15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40"/>
      <c r="T972" s="17"/>
      <c r="U972" s="17"/>
      <c r="V972" s="15"/>
      <c r="W972" s="92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  <c r="AR972" s="15"/>
      <c r="AS972" s="15"/>
      <c r="AT972" s="15"/>
      <c r="AU972" s="15"/>
      <c r="AV972" s="15"/>
      <c r="AW972" s="15"/>
      <c r="AX972" s="15"/>
      <c r="AY972" s="15"/>
      <c r="AZ972" s="15"/>
      <c r="BA972" s="15"/>
    </row>
    <row r="973" spans="1:53" ht="14.25" x14ac:dyDescent="0.2">
      <c r="A973" s="13"/>
      <c r="B973" s="14"/>
      <c r="C973" s="15"/>
      <c r="D973" s="15"/>
      <c r="E973" s="91"/>
      <c r="F973" s="17"/>
      <c r="G973" s="17"/>
      <c r="H973" s="15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40"/>
      <c r="T973" s="17"/>
      <c r="U973" s="17"/>
      <c r="V973" s="15"/>
      <c r="W973" s="92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5"/>
      <c r="AW973" s="15"/>
      <c r="AX973" s="15"/>
      <c r="AY973" s="15"/>
      <c r="AZ973" s="15"/>
      <c r="BA973" s="15"/>
    </row>
    <row r="974" spans="1:53" ht="14.25" x14ac:dyDescent="0.2">
      <c r="A974" s="13"/>
      <c r="B974" s="14"/>
      <c r="C974" s="15"/>
      <c r="D974" s="15"/>
      <c r="E974" s="91"/>
      <c r="F974" s="17"/>
      <c r="G974" s="17"/>
      <c r="H974" s="15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40"/>
      <c r="T974" s="17"/>
      <c r="U974" s="17"/>
      <c r="V974" s="15"/>
      <c r="W974" s="92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  <c r="AR974" s="15"/>
      <c r="AS974" s="15"/>
      <c r="AT974" s="15"/>
      <c r="AU974" s="15"/>
      <c r="AV974" s="15"/>
      <c r="AW974" s="15"/>
      <c r="AX974" s="15"/>
      <c r="AY974" s="15"/>
      <c r="AZ974" s="15"/>
      <c r="BA974" s="15"/>
    </row>
    <row r="975" spans="1:53" ht="14.25" x14ac:dyDescent="0.2">
      <c r="A975" s="13"/>
      <c r="B975" s="14"/>
      <c r="C975" s="15"/>
      <c r="D975" s="15"/>
      <c r="E975" s="91"/>
      <c r="F975" s="17"/>
      <c r="G975" s="17"/>
      <c r="H975" s="15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40"/>
      <c r="T975" s="17"/>
      <c r="U975" s="17"/>
      <c r="V975" s="15"/>
      <c r="W975" s="92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5"/>
      <c r="AW975" s="15"/>
      <c r="AX975" s="15"/>
      <c r="AY975" s="15"/>
      <c r="AZ975" s="15"/>
      <c r="BA975" s="15"/>
    </row>
    <row r="976" spans="1:53" ht="14.25" x14ac:dyDescent="0.2">
      <c r="A976" s="13"/>
      <c r="B976" s="14"/>
      <c r="C976" s="15"/>
      <c r="D976" s="15"/>
      <c r="E976" s="91"/>
      <c r="F976" s="17"/>
      <c r="G976" s="17"/>
      <c r="H976" s="15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40"/>
      <c r="T976" s="17"/>
      <c r="U976" s="17"/>
      <c r="V976" s="15"/>
      <c r="W976" s="92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  <c r="AP976" s="15"/>
      <c r="AQ976" s="15"/>
      <c r="AR976" s="15"/>
      <c r="AS976" s="15"/>
      <c r="AT976" s="15"/>
      <c r="AU976" s="15"/>
      <c r="AV976" s="15"/>
      <c r="AW976" s="15"/>
      <c r="AX976" s="15"/>
      <c r="AY976" s="15"/>
      <c r="AZ976" s="15"/>
      <c r="BA976" s="15"/>
    </row>
    <row r="977" spans="1:53" ht="14.25" x14ac:dyDescent="0.2">
      <c r="A977" s="13"/>
      <c r="B977" s="14"/>
      <c r="C977" s="15"/>
      <c r="D977" s="15"/>
      <c r="E977" s="91"/>
      <c r="F977" s="17"/>
      <c r="G977" s="17"/>
      <c r="H977" s="15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40"/>
      <c r="T977" s="17"/>
      <c r="U977" s="17"/>
      <c r="V977" s="15"/>
      <c r="W977" s="92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5"/>
      <c r="AW977" s="15"/>
      <c r="AX977" s="15"/>
      <c r="AY977" s="15"/>
      <c r="AZ977" s="15"/>
      <c r="BA977" s="15"/>
    </row>
    <row r="978" spans="1:53" ht="14.25" x14ac:dyDescent="0.2">
      <c r="A978" s="13"/>
      <c r="B978" s="14"/>
      <c r="C978" s="15"/>
      <c r="D978" s="15"/>
      <c r="E978" s="91"/>
      <c r="F978" s="17"/>
      <c r="G978" s="17"/>
      <c r="H978" s="15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40"/>
      <c r="T978" s="17"/>
      <c r="U978" s="17"/>
      <c r="V978" s="15"/>
      <c r="W978" s="92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  <c r="AP978" s="15"/>
      <c r="AQ978" s="15"/>
      <c r="AR978" s="15"/>
      <c r="AS978" s="15"/>
      <c r="AT978" s="15"/>
      <c r="AU978" s="15"/>
      <c r="AV978" s="15"/>
      <c r="AW978" s="15"/>
      <c r="AX978" s="15"/>
      <c r="AY978" s="15"/>
      <c r="AZ978" s="15"/>
      <c r="BA978" s="15"/>
    </row>
    <row r="979" spans="1:53" ht="14.25" x14ac:dyDescent="0.2">
      <c r="A979" s="13"/>
      <c r="B979" s="14"/>
      <c r="C979" s="15"/>
      <c r="D979" s="15"/>
      <c r="E979" s="91"/>
      <c r="F979" s="17"/>
      <c r="G979" s="17"/>
      <c r="H979" s="15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40"/>
      <c r="T979" s="17"/>
      <c r="U979" s="17"/>
      <c r="V979" s="15"/>
      <c r="W979" s="92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5"/>
      <c r="AW979" s="15"/>
      <c r="AX979" s="15"/>
      <c r="AY979" s="15"/>
      <c r="AZ979" s="15"/>
      <c r="BA979" s="15"/>
    </row>
    <row r="980" spans="1:53" ht="14.25" x14ac:dyDescent="0.2">
      <c r="A980" s="13"/>
      <c r="B980" s="14"/>
      <c r="C980" s="15"/>
      <c r="D980" s="15"/>
      <c r="E980" s="91"/>
      <c r="F980" s="17"/>
      <c r="G980" s="17"/>
      <c r="H980" s="15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40"/>
      <c r="T980" s="17"/>
      <c r="U980" s="17"/>
      <c r="V980" s="15"/>
      <c r="W980" s="92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  <c r="AP980" s="15"/>
      <c r="AQ980" s="15"/>
      <c r="AR980" s="15"/>
      <c r="AS980" s="15"/>
      <c r="AT980" s="15"/>
      <c r="AU980" s="15"/>
      <c r="AV980" s="15"/>
      <c r="AW980" s="15"/>
      <c r="AX980" s="15"/>
      <c r="AY980" s="15"/>
      <c r="AZ980" s="15"/>
      <c r="BA980" s="15"/>
    </row>
    <row r="981" spans="1:53" ht="14.25" x14ac:dyDescent="0.2">
      <c r="A981" s="13"/>
      <c r="B981" s="14"/>
      <c r="C981" s="15"/>
      <c r="D981" s="15"/>
      <c r="E981" s="91"/>
      <c r="F981" s="17"/>
      <c r="G981" s="17"/>
      <c r="H981" s="15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40"/>
      <c r="T981" s="17"/>
      <c r="U981" s="17"/>
      <c r="V981" s="15"/>
      <c r="W981" s="92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5"/>
      <c r="AW981" s="15"/>
      <c r="AX981" s="15"/>
      <c r="AY981" s="15"/>
      <c r="AZ981" s="15"/>
      <c r="BA981" s="15"/>
    </row>
    <row r="982" spans="1:53" ht="14.25" x14ac:dyDescent="0.2">
      <c r="A982" s="13"/>
      <c r="B982" s="14"/>
      <c r="C982" s="15"/>
      <c r="D982" s="15"/>
      <c r="E982" s="91"/>
      <c r="F982" s="17"/>
      <c r="G982" s="17"/>
      <c r="H982" s="15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40"/>
      <c r="T982" s="17"/>
      <c r="U982" s="17"/>
      <c r="V982" s="15"/>
      <c r="W982" s="92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  <c r="AR982" s="15"/>
      <c r="AS982" s="15"/>
      <c r="AT982" s="15"/>
      <c r="AU982" s="15"/>
      <c r="AV982" s="15"/>
      <c r="AW982" s="15"/>
      <c r="AX982" s="15"/>
      <c r="AY982" s="15"/>
      <c r="AZ982" s="15"/>
      <c r="BA982" s="15"/>
    </row>
    <row r="983" spans="1:53" ht="14.25" x14ac:dyDescent="0.2">
      <c r="A983" s="13"/>
      <c r="B983" s="14"/>
      <c r="C983" s="15"/>
      <c r="D983" s="15"/>
      <c r="E983" s="91"/>
      <c r="F983" s="17"/>
      <c r="G983" s="17"/>
      <c r="H983" s="15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40"/>
      <c r="T983" s="17"/>
      <c r="U983" s="17"/>
      <c r="V983" s="15"/>
      <c r="W983" s="92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  <c r="AV983" s="15"/>
      <c r="AW983" s="15"/>
      <c r="AX983" s="15"/>
      <c r="AY983" s="15"/>
      <c r="AZ983" s="15"/>
      <c r="BA983" s="15"/>
    </row>
    <row r="984" spans="1:53" ht="14.25" x14ac:dyDescent="0.2">
      <c r="A984" s="13"/>
      <c r="B984" s="14"/>
      <c r="C984" s="15"/>
      <c r="D984" s="15"/>
      <c r="E984" s="91"/>
      <c r="F984" s="17"/>
      <c r="G984" s="17"/>
      <c r="H984" s="15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40"/>
      <c r="T984" s="17"/>
      <c r="U984" s="17"/>
      <c r="V984" s="15"/>
      <c r="W984" s="92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  <c r="AP984" s="15"/>
      <c r="AQ984" s="15"/>
      <c r="AR984" s="15"/>
      <c r="AS984" s="15"/>
      <c r="AT984" s="15"/>
      <c r="AU984" s="15"/>
      <c r="AV984" s="15"/>
      <c r="AW984" s="15"/>
      <c r="AX984" s="15"/>
      <c r="AY984" s="15"/>
      <c r="AZ984" s="15"/>
      <c r="BA984" s="15"/>
    </row>
    <row r="985" spans="1:53" ht="14.25" x14ac:dyDescent="0.2">
      <c r="A985" s="13"/>
      <c r="B985" s="14"/>
      <c r="C985" s="15"/>
      <c r="D985" s="15"/>
      <c r="E985" s="91"/>
      <c r="F985" s="17"/>
      <c r="G985" s="17"/>
      <c r="H985" s="15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40"/>
      <c r="T985" s="17"/>
      <c r="U985" s="17"/>
      <c r="V985" s="15"/>
      <c r="W985" s="92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5"/>
      <c r="AW985" s="15"/>
      <c r="AX985" s="15"/>
      <c r="AY985" s="15"/>
      <c r="AZ985" s="15"/>
      <c r="BA985" s="15"/>
    </row>
    <row r="986" spans="1:53" ht="14.25" x14ac:dyDescent="0.2">
      <c r="A986" s="13"/>
      <c r="B986" s="14"/>
      <c r="C986" s="15"/>
      <c r="D986" s="15"/>
      <c r="E986" s="91"/>
      <c r="F986" s="17"/>
      <c r="G986" s="17"/>
      <c r="H986" s="15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40"/>
      <c r="T986" s="17"/>
      <c r="U986" s="17"/>
      <c r="V986" s="15"/>
      <c r="W986" s="92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  <c r="AR986" s="15"/>
      <c r="AS986" s="15"/>
      <c r="AT986" s="15"/>
      <c r="AU986" s="15"/>
      <c r="AV986" s="15"/>
      <c r="AW986" s="15"/>
      <c r="AX986" s="15"/>
      <c r="AY986" s="15"/>
      <c r="AZ986" s="15"/>
      <c r="BA986" s="15"/>
    </row>
    <row r="987" spans="1:53" ht="14.25" x14ac:dyDescent="0.2">
      <c r="A987" s="13"/>
      <c r="B987" s="14"/>
      <c r="C987" s="15"/>
      <c r="D987" s="15"/>
      <c r="E987" s="91"/>
      <c r="F987" s="17"/>
      <c r="G987" s="17"/>
      <c r="H987" s="15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40"/>
      <c r="T987" s="17"/>
      <c r="U987" s="17"/>
      <c r="V987" s="15"/>
      <c r="W987" s="92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5"/>
      <c r="AW987" s="15"/>
      <c r="AX987" s="15"/>
      <c r="AY987" s="15"/>
      <c r="AZ987" s="15"/>
      <c r="BA987" s="15"/>
    </row>
    <row r="988" spans="1:53" ht="14.25" x14ac:dyDescent="0.2">
      <c r="A988" s="13"/>
      <c r="B988" s="14"/>
      <c r="C988" s="15"/>
      <c r="D988" s="15"/>
      <c r="E988" s="91"/>
      <c r="F988" s="17"/>
      <c r="G988" s="17"/>
      <c r="H988" s="15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40"/>
      <c r="T988" s="17"/>
      <c r="U988" s="17"/>
      <c r="V988" s="15"/>
      <c r="W988" s="92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  <c r="AV988" s="15"/>
      <c r="AW988" s="15"/>
      <c r="AX988" s="15"/>
      <c r="AY988" s="15"/>
      <c r="AZ988" s="15"/>
      <c r="BA988" s="15"/>
    </row>
    <row r="989" spans="1:53" ht="14.25" x14ac:dyDescent="0.2">
      <c r="A989" s="13"/>
      <c r="B989" s="14"/>
      <c r="C989" s="15"/>
      <c r="D989" s="15"/>
      <c r="E989" s="91"/>
      <c r="F989" s="17"/>
      <c r="G989" s="17"/>
      <c r="H989" s="15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40"/>
      <c r="T989" s="17"/>
      <c r="U989" s="17"/>
      <c r="V989" s="15"/>
      <c r="W989" s="92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5"/>
      <c r="AW989" s="15"/>
      <c r="AX989" s="15"/>
      <c r="AY989" s="15"/>
      <c r="AZ989" s="15"/>
      <c r="BA989" s="15"/>
    </row>
    <row r="990" spans="1:53" ht="14.25" x14ac:dyDescent="0.2">
      <c r="A990" s="13"/>
      <c r="B990" s="14"/>
      <c r="C990" s="15"/>
      <c r="D990" s="15"/>
      <c r="E990" s="91"/>
      <c r="F990" s="17"/>
      <c r="G990" s="17"/>
      <c r="H990" s="15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40"/>
      <c r="T990" s="17"/>
      <c r="U990" s="17"/>
      <c r="V990" s="15"/>
      <c r="W990" s="92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  <c r="AR990" s="15"/>
      <c r="AS990" s="15"/>
      <c r="AT990" s="15"/>
      <c r="AU990" s="15"/>
      <c r="AV990" s="15"/>
      <c r="AW990" s="15"/>
      <c r="AX990" s="15"/>
      <c r="AY990" s="15"/>
      <c r="AZ990" s="15"/>
      <c r="BA990" s="15"/>
    </row>
    <row r="991" spans="1:53" ht="14.25" x14ac:dyDescent="0.2">
      <c r="A991" s="13"/>
      <c r="B991" s="14"/>
      <c r="C991" s="15"/>
      <c r="D991" s="15"/>
      <c r="E991" s="91"/>
      <c r="F991" s="17"/>
      <c r="G991" s="17"/>
      <c r="H991" s="15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40"/>
      <c r="T991" s="17"/>
      <c r="U991" s="17"/>
      <c r="V991" s="15"/>
      <c r="W991" s="92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5"/>
      <c r="AW991" s="15"/>
      <c r="AX991" s="15"/>
      <c r="AY991" s="15"/>
      <c r="AZ991" s="15"/>
      <c r="BA991" s="15"/>
    </row>
    <row r="992" spans="1:53" ht="14.25" x14ac:dyDescent="0.2">
      <c r="A992" s="13"/>
      <c r="B992" s="14"/>
      <c r="C992" s="15"/>
      <c r="D992" s="15"/>
      <c r="E992" s="91"/>
      <c r="F992" s="17"/>
      <c r="G992" s="17"/>
      <c r="H992" s="15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40"/>
      <c r="T992" s="17"/>
      <c r="U992" s="17"/>
      <c r="V992" s="15"/>
      <c r="W992" s="92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  <c r="AP992" s="15"/>
      <c r="AQ992" s="15"/>
      <c r="AR992" s="15"/>
      <c r="AS992" s="15"/>
      <c r="AT992" s="15"/>
      <c r="AU992" s="15"/>
      <c r="AV992" s="15"/>
      <c r="AW992" s="15"/>
      <c r="AX992" s="15"/>
      <c r="AY992" s="15"/>
      <c r="AZ992" s="15"/>
      <c r="BA992" s="15"/>
    </row>
    <row r="993" spans="1:53" ht="14.25" x14ac:dyDescent="0.2">
      <c r="A993" s="13"/>
      <c r="B993" s="14"/>
      <c r="C993" s="15"/>
      <c r="D993" s="15"/>
      <c r="E993" s="91"/>
      <c r="F993" s="17"/>
      <c r="G993" s="17"/>
      <c r="H993" s="15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40"/>
      <c r="T993" s="17"/>
      <c r="U993" s="17"/>
      <c r="V993" s="15"/>
      <c r="W993" s="92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  <c r="AV993" s="15"/>
      <c r="AW993" s="15"/>
      <c r="AX993" s="15"/>
      <c r="AY993" s="15"/>
      <c r="AZ993" s="15"/>
      <c r="BA993" s="15"/>
    </row>
    <row r="994" spans="1:53" ht="14.25" x14ac:dyDescent="0.2">
      <c r="A994" s="13"/>
      <c r="B994" s="14"/>
      <c r="C994" s="15"/>
      <c r="D994" s="15"/>
      <c r="E994" s="91"/>
      <c r="F994" s="17"/>
      <c r="G994" s="17"/>
      <c r="H994" s="15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40"/>
      <c r="T994" s="17"/>
      <c r="U994" s="17"/>
      <c r="V994" s="15"/>
      <c r="W994" s="92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  <c r="AR994" s="15"/>
      <c r="AS994" s="15"/>
      <c r="AT994" s="15"/>
      <c r="AU994" s="15"/>
      <c r="AV994" s="15"/>
      <c r="AW994" s="15"/>
      <c r="AX994" s="15"/>
      <c r="AY994" s="15"/>
      <c r="AZ994" s="15"/>
      <c r="BA994" s="15"/>
    </row>
    <row r="995" spans="1:53" ht="14.25" x14ac:dyDescent="0.2">
      <c r="A995" s="13"/>
      <c r="B995" s="14"/>
      <c r="C995" s="15"/>
      <c r="D995" s="15"/>
      <c r="E995" s="91"/>
      <c r="F995" s="17"/>
      <c r="G995" s="17"/>
      <c r="H995" s="15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40"/>
      <c r="T995" s="17"/>
      <c r="U995" s="17"/>
      <c r="V995" s="15"/>
      <c r="W995" s="92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  <c r="AV995" s="15"/>
      <c r="AW995" s="15"/>
      <c r="AX995" s="15"/>
      <c r="AY995" s="15"/>
      <c r="AZ995" s="15"/>
      <c r="BA995" s="15"/>
    </row>
    <row r="996" spans="1:53" ht="14.25" x14ac:dyDescent="0.2">
      <c r="A996" s="13"/>
      <c r="B996" s="14"/>
      <c r="C996" s="15"/>
      <c r="D996" s="15"/>
      <c r="E996" s="91"/>
      <c r="F996" s="17"/>
      <c r="G996" s="17"/>
      <c r="H996" s="15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40"/>
      <c r="T996" s="17"/>
      <c r="U996" s="17"/>
      <c r="V996" s="15"/>
      <c r="W996" s="92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  <c r="AP996" s="15"/>
      <c r="AQ996" s="15"/>
      <c r="AR996" s="15"/>
      <c r="AS996" s="15"/>
      <c r="AT996" s="15"/>
      <c r="AU996" s="15"/>
      <c r="AV996" s="15"/>
      <c r="AW996" s="15"/>
      <c r="AX996" s="15"/>
      <c r="AY996" s="15"/>
      <c r="AZ996" s="15"/>
      <c r="BA996" s="15"/>
    </row>
    <row r="997" spans="1:53" ht="14.25" x14ac:dyDescent="0.2">
      <c r="A997" s="13"/>
      <c r="B997" s="14"/>
      <c r="C997" s="15"/>
      <c r="D997" s="15"/>
      <c r="E997" s="91"/>
      <c r="F997" s="17"/>
      <c r="G997" s="17"/>
      <c r="H997" s="15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40"/>
      <c r="T997" s="17"/>
      <c r="U997" s="17"/>
      <c r="V997" s="15"/>
      <c r="W997" s="92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  <c r="AV997" s="15"/>
      <c r="AW997" s="15"/>
      <c r="AX997" s="15"/>
      <c r="AY997" s="15"/>
      <c r="AZ997" s="15"/>
      <c r="BA997" s="15"/>
    </row>
    <row r="998" spans="1:53" ht="14.25" x14ac:dyDescent="0.2">
      <c r="A998" s="13"/>
      <c r="B998" s="14"/>
      <c r="C998" s="15"/>
      <c r="D998" s="15"/>
      <c r="E998" s="91"/>
      <c r="F998" s="17"/>
      <c r="G998" s="17"/>
      <c r="H998" s="15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40"/>
      <c r="T998" s="17"/>
      <c r="U998" s="17"/>
      <c r="V998" s="15"/>
      <c r="W998" s="92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  <c r="AP998" s="15"/>
      <c r="AQ998" s="15"/>
      <c r="AR998" s="15"/>
      <c r="AS998" s="15"/>
      <c r="AT998" s="15"/>
      <c r="AU998" s="15"/>
      <c r="AV998" s="15"/>
      <c r="AW998" s="15"/>
      <c r="AX998" s="15"/>
      <c r="AY998" s="15"/>
      <c r="AZ998" s="15"/>
      <c r="BA998" s="15"/>
    </row>
    <row r="999" spans="1:53" ht="14.25" x14ac:dyDescent="0.2">
      <c r="A999" s="13"/>
      <c r="B999" s="14"/>
      <c r="C999" s="15"/>
      <c r="D999" s="15"/>
      <c r="E999" s="91"/>
      <c r="F999" s="17"/>
      <c r="G999" s="17"/>
      <c r="H999" s="15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40"/>
      <c r="T999" s="17"/>
      <c r="U999" s="17"/>
      <c r="V999" s="15"/>
      <c r="W999" s="92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  <c r="AV999" s="15"/>
      <c r="AW999" s="15"/>
      <c r="AX999" s="15"/>
      <c r="AY999" s="15"/>
      <c r="AZ999" s="15"/>
      <c r="BA999" s="15"/>
    </row>
    <row r="1000" spans="1:53" ht="14.25" x14ac:dyDescent="0.2">
      <c r="A1000" s="13"/>
      <c r="B1000" s="14"/>
      <c r="C1000" s="15"/>
      <c r="D1000" s="15"/>
      <c r="E1000" s="91"/>
      <c r="F1000" s="17"/>
      <c r="G1000" s="17"/>
      <c r="H1000" s="15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40"/>
      <c r="T1000" s="17"/>
      <c r="U1000" s="17"/>
      <c r="V1000" s="15"/>
      <c r="W1000" s="92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5"/>
      <c r="AP1000" s="15"/>
      <c r="AQ1000" s="15"/>
      <c r="AR1000" s="15"/>
      <c r="AS1000" s="15"/>
      <c r="AT1000" s="15"/>
      <c r="AU1000" s="15"/>
      <c r="AV1000" s="15"/>
      <c r="AW1000" s="15"/>
      <c r="AX1000" s="15"/>
      <c r="AY1000" s="15"/>
      <c r="AZ1000" s="15"/>
      <c r="BA1000" s="15"/>
    </row>
    <row r="1001" spans="1:53" ht="14.25" x14ac:dyDescent="0.2">
      <c r="A1001" s="13"/>
      <c r="B1001" s="14"/>
      <c r="C1001" s="15"/>
      <c r="D1001" s="15"/>
      <c r="E1001" s="91"/>
      <c r="F1001" s="17"/>
      <c r="G1001" s="17"/>
      <c r="H1001" s="15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40"/>
      <c r="T1001" s="17"/>
      <c r="U1001" s="17"/>
      <c r="V1001" s="15"/>
      <c r="W1001" s="92"/>
      <c r="X1001" s="15"/>
      <c r="Y1001" s="15"/>
      <c r="Z1001" s="15"/>
      <c r="AA1001" s="15"/>
      <c r="AB1001" s="15"/>
      <c r="AC1001" s="15"/>
      <c r="AD1001" s="15"/>
      <c r="AE1001" s="15"/>
      <c r="AF1001" s="15"/>
      <c r="AG1001" s="15"/>
      <c r="AH1001" s="15"/>
      <c r="AI1001" s="15"/>
      <c r="AJ1001" s="15"/>
      <c r="AK1001" s="15"/>
      <c r="AL1001" s="15"/>
      <c r="AM1001" s="15"/>
      <c r="AN1001" s="15"/>
      <c r="AO1001" s="15"/>
      <c r="AP1001" s="15"/>
      <c r="AQ1001" s="15"/>
      <c r="AR1001" s="15"/>
      <c r="AS1001" s="15"/>
      <c r="AT1001" s="15"/>
      <c r="AU1001" s="15"/>
      <c r="AV1001" s="15"/>
      <c r="AW1001" s="15"/>
      <c r="AX1001" s="15"/>
      <c r="AY1001" s="15"/>
      <c r="AZ1001" s="15"/>
      <c r="BA1001" s="15"/>
    </row>
    <row r="1002" spans="1:53" ht="14.25" x14ac:dyDescent="0.2">
      <c r="A1002" s="13"/>
      <c r="B1002" s="14"/>
      <c r="C1002" s="15"/>
      <c r="D1002" s="15"/>
      <c r="E1002" s="91"/>
      <c r="F1002" s="17"/>
      <c r="G1002" s="17"/>
      <c r="H1002" s="15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40"/>
      <c r="T1002" s="17"/>
      <c r="U1002" s="17"/>
      <c r="V1002" s="15"/>
      <c r="W1002" s="92"/>
      <c r="X1002" s="15"/>
      <c r="Y1002" s="15"/>
      <c r="Z1002" s="15"/>
      <c r="AA1002" s="15"/>
      <c r="AB1002" s="15"/>
      <c r="AC1002" s="15"/>
      <c r="AD1002" s="15"/>
      <c r="AE1002" s="15"/>
      <c r="AF1002" s="15"/>
      <c r="AG1002" s="15"/>
      <c r="AH1002" s="15"/>
      <c r="AI1002" s="15"/>
      <c r="AJ1002" s="15"/>
      <c r="AK1002" s="15"/>
      <c r="AL1002" s="15"/>
      <c r="AM1002" s="15"/>
      <c r="AN1002" s="15"/>
      <c r="AO1002" s="15"/>
      <c r="AP1002" s="15"/>
      <c r="AQ1002" s="15"/>
      <c r="AR1002" s="15"/>
      <c r="AS1002" s="15"/>
      <c r="AT1002" s="15"/>
      <c r="AU1002" s="15"/>
      <c r="AV1002" s="15"/>
      <c r="AW1002" s="15"/>
      <c r="AX1002" s="15"/>
      <c r="AY1002" s="15"/>
      <c r="AZ1002" s="15"/>
      <c r="BA1002" s="15"/>
    </row>
    <row r="1003" spans="1:53" ht="14.25" x14ac:dyDescent="0.2">
      <c r="A1003" s="13"/>
      <c r="B1003" s="14"/>
      <c r="C1003" s="15"/>
      <c r="D1003" s="15"/>
      <c r="E1003" s="91"/>
      <c r="F1003" s="17"/>
      <c r="G1003" s="17"/>
      <c r="H1003" s="15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40"/>
      <c r="T1003" s="17"/>
      <c r="U1003" s="17"/>
      <c r="V1003" s="15"/>
      <c r="W1003" s="92"/>
      <c r="X1003" s="15"/>
      <c r="Y1003" s="15"/>
      <c r="Z1003" s="15"/>
      <c r="AA1003" s="15"/>
      <c r="AB1003" s="15"/>
      <c r="AC1003" s="15"/>
      <c r="AD1003" s="15"/>
      <c r="AE1003" s="15"/>
      <c r="AF1003" s="15"/>
      <c r="AG1003" s="15"/>
      <c r="AH1003" s="15"/>
      <c r="AI1003" s="15"/>
      <c r="AJ1003" s="15"/>
      <c r="AK1003" s="15"/>
      <c r="AL1003" s="15"/>
      <c r="AM1003" s="15"/>
      <c r="AN1003" s="15"/>
      <c r="AO1003" s="15"/>
      <c r="AP1003" s="15"/>
      <c r="AQ1003" s="15"/>
      <c r="AR1003" s="15"/>
      <c r="AS1003" s="15"/>
      <c r="AT1003" s="15"/>
      <c r="AU1003" s="15"/>
      <c r="AV1003" s="15"/>
      <c r="AW1003" s="15"/>
      <c r="AX1003" s="15"/>
      <c r="AY1003" s="15"/>
      <c r="AZ1003" s="15"/>
      <c r="BA1003" s="15"/>
    </row>
    <row r="1004" spans="1:53" ht="14.25" x14ac:dyDescent="0.2">
      <c r="A1004" s="13"/>
      <c r="B1004" s="14"/>
      <c r="C1004" s="15"/>
      <c r="D1004" s="15"/>
      <c r="E1004" s="91"/>
      <c r="F1004" s="17"/>
      <c r="G1004" s="17"/>
      <c r="H1004" s="15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40"/>
      <c r="T1004" s="17"/>
      <c r="U1004" s="17"/>
      <c r="V1004" s="15"/>
      <c r="W1004" s="92"/>
      <c r="X1004" s="15"/>
      <c r="Y1004" s="15"/>
      <c r="Z1004" s="15"/>
      <c r="AA1004" s="15"/>
      <c r="AB1004" s="15"/>
      <c r="AC1004" s="15"/>
      <c r="AD1004" s="15"/>
      <c r="AE1004" s="15"/>
      <c r="AF1004" s="15"/>
      <c r="AG1004" s="15"/>
      <c r="AH1004" s="15"/>
      <c r="AI1004" s="15"/>
      <c r="AJ1004" s="15"/>
      <c r="AK1004" s="15"/>
      <c r="AL1004" s="15"/>
      <c r="AM1004" s="15"/>
      <c r="AN1004" s="15"/>
      <c r="AO1004" s="15"/>
      <c r="AP1004" s="15"/>
      <c r="AQ1004" s="15"/>
      <c r="AR1004" s="15"/>
      <c r="AS1004" s="15"/>
      <c r="AT1004" s="15"/>
      <c r="AU1004" s="15"/>
      <c r="AV1004" s="15"/>
      <c r="AW1004" s="15"/>
      <c r="AX1004" s="15"/>
      <c r="AY1004" s="15"/>
      <c r="AZ1004" s="15"/>
      <c r="BA1004" s="15"/>
    </row>
    <row r="1005" spans="1:53" ht="14.25" x14ac:dyDescent="0.2">
      <c r="A1005" s="13"/>
      <c r="B1005" s="14"/>
      <c r="C1005" s="15"/>
      <c r="D1005" s="15"/>
      <c r="E1005" s="91"/>
      <c r="F1005" s="17"/>
      <c r="G1005" s="17"/>
      <c r="H1005" s="15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40"/>
      <c r="T1005" s="17"/>
      <c r="U1005" s="17"/>
      <c r="V1005" s="15"/>
      <c r="W1005" s="92"/>
      <c r="X1005" s="15"/>
      <c r="Y1005" s="15"/>
      <c r="Z1005" s="15"/>
      <c r="AA1005" s="15"/>
      <c r="AB1005" s="15"/>
      <c r="AC1005" s="15"/>
      <c r="AD1005" s="15"/>
      <c r="AE1005" s="15"/>
      <c r="AF1005" s="15"/>
      <c r="AG1005" s="15"/>
      <c r="AH1005" s="15"/>
      <c r="AI1005" s="15"/>
      <c r="AJ1005" s="15"/>
      <c r="AK1005" s="15"/>
      <c r="AL1005" s="15"/>
      <c r="AM1005" s="15"/>
      <c r="AN1005" s="15"/>
      <c r="AO1005" s="15"/>
      <c r="AP1005" s="15"/>
      <c r="AQ1005" s="15"/>
      <c r="AR1005" s="15"/>
      <c r="AS1005" s="15"/>
      <c r="AT1005" s="15"/>
      <c r="AU1005" s="15"/>
      <c r="AV1005" s="15"/>
      <c r="AW1005" s="15"/>
      <c r="AX1005" s="15"/>
      <c r="AY1005" s="15"/>
      <c r="AZ1005" s="15"/>
      <c r="BA1005" s="15"/>
    </row>
    <row r="1006" spans="1:53" ht="14.25" x14ac:dyDescent="0.2">
      <c r="A1006" s="13"/>
      <c r="B1006" s="14"/>
      <c r="C1006" s="15"/>
      <c r="D1006" s="15"/>
      <c r="E1006" s="91"/>
      <c r="F1006" s="17"/>
      <c r="G1006" s="17"/>
      <c r="H1006" s="15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40"/>
      <c r="T1006" s="17"/>
      <c r="U1006" s="17"/>
      <c r="V1006" s="15"/>
      <c r="W1006" s="92"/>
      <c r="X1006" s="15"/>
      <c r="Y1006" s="15"/>
      <c r="Z1006" s="15"/>
      <c r="AA1006" s="15"/>
      <c r="AB1006" s="15"/>
      <c r="AC1006" s="15"/>
      <c r="AD1006" s="15"/>
      <c r="AE1006" s="15"/>
      <c r="AF1006" s="15"/>
      <c r="AG1006" s="15"/>
      <c r="AH1006" s="15"/>
      <c r="AI1006" s="15"/>
      <c r="AJ1006" s="15"/>
      <c r="AK1006" s="15"/>
      <c r="AL1006" s="15"/>
      <c r="AM1006" s="15"/>
      <c r="AN1006" s="15"/>
      <c r="AO1006" s="15"/>
      <c r="AP1006" s="15"/>
      <c r="AQ1006" s="15"/>
      <c r="AR1006" s="15"/>
      <c r="AS1006" s="15"/>
      <c r="AT1006" s="15"/>
      <c r="AU1006" s="15"/>
      <c r="AV1006" s="15"/>
      <c r="AW1006" s="15"/>
      <c r="AX1006" s="15"/>
      <c r="AY1006" s="15"/>
      <c r="AZ1006" s="15"/>
      <c r="BA1006" s="15"/>
    </row>
    <row r="1007" spans="1:53" ht="14.25" x14ac:dyDescent="0.2">
      <c r="A1007" s="13"/>
      <c r="B1007" s="14"/>
      <c r="C1007" s="15"/>
      <c r="D1007" s="15"/>
      <c r="E1007" s="91"/>
      <c r="F1007" s="17"/>
      <c r="G1007" s="17"/>
      <c r="H1007" s="15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40"/>
      <c r="T1007" s="17"/>
      <c r="U1007" s="17"/>
      <c r="V1007" s="15"/>
      <c r="W1007" s="92"/>
      <c r="X1007" s="15"/>
      <c r="Y1007" s="15"/>
      <c r="Z1007" s="15"/>
      <c r="AA1007" s="15"/>
      <c r="AB1007" s="15"/>
      <c r="AC1007" s="15"/>
      <c r="AD1007" s="15"/>
      <c r="AE1007" s="15"/>
      <c r="AF1007" s="15"/>
      <c r="AG1007" s="15"/>
      <c r="AH1007" s="15"/>
      <c r="AI1007" s="15"/>
      <c r="AJ1007" s="15"/>
      <c r="AK1007" s="15"/>
      <c r="AL1007" s="15"/>
      <c r="AM1007" s="15"/>
      <c r="AN1007" s="15"/>
      <c r="AO1007" s="15"/>
      <c r="AP1007" s="15"/>
      <c r="AQ1007" s="15"/>
      <c r="AR1007" s="15"/>
      <c r="AS1007" s="15"/>
      <c r="AT1007" s="15"/>
      <c r="AU1007" s="15"/>
      <c r="AV1007" s="15"/>
      <c r="AW1007" s="15"/>
      <c r="AX1007" s="15"/>
      <c r="AY1007" s="15"/>
      <c r="AZ1007" s="15"/>
      <c r="BA1007" s="15"/>
    </row>
    <row r="1008" spans="1:53" ht="14.25" x14ac:dyDescent="0.2">
      <c r="A1008" s="13"/>
      <c r="B1008" s="14"/>
      <c r="C1008" s="15"/>
      <c r="D1008" s="15"/>
      <c r="E1008" s="91"/>
      <c r="F1008" s="17"/>
      <c r="G1008" s="17"/>
      <c r="H1008" s="15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40"/>
      <c r="T1008" s="17"/>
      <c r="U1008" s="17"/>
      <c r="V1008" s="15"/>
      <c r="W1008" s="92"/>
      <c r="X1008" s="15"/>
      <c r="Y1008" s="15"/>
      <c r="Z1008" s="15"/>
      <c r="AA1008" s="15"/>
      <c r="AB1008" s="15"/>
      <c r="AC1008" s="15"/>
      <c r="AD1008" s="15"/>
      <c r="AE1008" s="15"/>
      <c r="AF1008" s="15"/>
      <c r="AG1008" s="15"/>
      <c r="AH1008" s="15"/>
      <c r="AI1008" s="15"/>
      <c r="AJ1008" s="15"/>
      <c r="AK1008" s="15"/>
      <c r="AL1008" s="15"/>
      <c r="AM1008" s="15"/>
      <c r="AN1008" s="15"/>
      <c r="AO1008" s="15"/>
      <c r="AP1008" s="15"/>
      <c r="AQ1008" s="15"/>
      <c r="AR1008" s="15"/>
      <c r="AS1008" s="15"/>
      <c r="AT1008" s="15"/>
      <c r="AU1008" s="15"/>
      <c r="AV1008" s="15"/>
      <c r="AW1008" s="15"/>
      <c r="AX1008" s="15"/>
      <c r="AY1008" s="15"/>
      <c r="AZ1008" s="15"/>
      <c r="BA1008" s="15"/>
    </row>
    <row r="1009" spans="1:53" ht="14.25" x14ac:dyDescent="0.2">
      <c r="A1009" s="13"/>
      <c r="B1009" s="14"/>
      <c r="C1009" s="15"/>
      <c r="D1009" s="15"/>
      <c r="E1009" s="91"/>
      <c r="F1009" s="17"/>
      <c r="G1009" s="17"/>
      <c r="H1009" s="15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40"/>
      <c r="T1009" s="17"/>
      <c r="U1009" s="17"/>
      <c r="V1009" s="15"/>
      <c r="W1009" s="92"/>
      <c r="X1009" s="15"/>
      <c r="Y1009" s="15"/>
      <c r="Z1009" s="15"/>
      <c r="AA1009" s="15"/>
      <c r="AB1009" s="15"/>
      <c r="AC1009" s="15"/>
      <c r="AD1009" s="15"/>
      <c r="AE1009" s="15"/>
      <c r="AF1009" s="15"/>
      <c r="AG1009" s="15"/>
      <c r="AH1009" s="15"/>
      <c r="AI1009" s="15"/>
      <c r="AJ1009" s="15"/>
      <c r="AK1009" s="15"/>
      <c r="AL1009" s="15"/>
      <c r="AM1009" s="15"/>
      <c r="AN1009" s="15"/>
      <c r="AO1009" s="15"/>
      <c r="AP1009" s="15"/>
      <c r="AQ1009" s="15"/>
      <c r="AR1009" s="15"/>
      <c r="AS1009" s="15"/>
      <c r="AT1009" s="15"/>
      <c r="AU1009" s="15"/>
      <c r="AV1009" s="15"/>
      <c r="AW1009" s="15"/>
      <c r="AX1009" s="15"/>
      <c r="AY1009" s="15"/>
      <c r="AZ1009" s="15"/>
      <c r="BA1009" s="15"/>
    </row>
    <row r="1010" spans="1:53" ht="14.25" x14ac:dyDescent="0.2">
      <c r="A1010" s="13"/>
      <c r="B1010" s="14"/>
      <c r="C1010" s="15"/>
      <c r="D1010" s="15"/>
      <c r="E1010" s="91"/>
      <c r="F1010" s="17"/>
      <c r="G1010" s="17"/>
      <c r="H1010" s="15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40"/>
      <c r="T1010" s="17"/>
      <c r="U1010" s="17"/>
      <c r="V1010" s="15"/>
      <c r="W1010" s="92"/>
      <c r="X1010" s="15"/>
      <c r="Y1010" s="15"/>
      <c r="Z1010" s="15"/>
      <c r="AA1010" s="15"/>
      <c r="AB1010" s="15"/>
      <c r="AC1010" s="15"/>
      <c r="AD1010" s="15"/>
      <c r="AE1010" s="15"/>
      <c r="AF1010" s="15"/>
      <c r="AG1010" s="15"/>
      <c r="AH1010" s="15"/>
      <c r="AI1010" s="15"/>
      <c r="AJ1010" s="15"/>
      <c r="AK1010" s="15"/>
      <c r="AL1010" s="15"/>
      <c r="AM1010" s="15"/>
      <c r="AN1010" s="15"/>
      <c r="AO1010" s="15"/>
      <c r="AP1010" s="15"/>
      <c r="AQ1010" s="15"/>
      <c r="AR1010" s="15"/>
      <c r="AS1010" s="15"/>
      <c r="AT1010" s="15"/>
      <c r="AU1010" s="15"/>
      <c r="AV1010" s="15"/>
      <c r="AW1010" s="15"/>
      <c r="AX1010" s="15"/>
      <c r="AY1010" s="15"/>
      <c r="AZ1010" s="15"/>
      <c r="BA1010" s="15"/>
    </row>
    <row r="1011" spans="1:53" ht="14.25" x14ac:dyDescent="0.2">
      <c r="A1011" s="13"/>
      <c r="B1011" s="14"/>
      <c r="C1011" s="15"/>
      <c r="D1011" s="15"/>
      <c r="E1011" s="91"/>
      <c r="F1011" s="17"/>
      <c r="G1011" s="17"/>
      <c r="H1011" s="15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40"/>
      <c r="T1011" s="17"/>
      <c r="U1011" s="17"/>
      <c r="V1011" s="15"/>
      <c r="W1011" s="92"/>
      <c r="X1011" s="15"/>
      <c r="Y1011" s="15"/>
      <c r="Z1011" s="15"/>
      <c r="AA1011" s="15"/>
      <c r="AB1011" s="15"/>
      <c r="AC1011" s="15"/>
      <c r="AD1011" s="15"/>
      <c r="AE1011" s="15"/>
      <c r="AF1011" s="15"/>
      <c r="AG1011" s="15"/>
      <c r="AH1011" s="15"/>
      <c r="AI1011" s="15"/>
      <c r="AJ1011" s="15"/>
      <c r="AK1011" s="15"/>
      <c r="AL1011" s="15"/>
      <c r="AM1011" s="15"/>
      <c r="AN1011" s="15"/>
      <c r="AO1011" s="15"/>
      <c r="AP1011" s="15"/>
      <c r="AQ1011" s="15"/>
      <c r="AR1011" s="15"/>
      <c r="AS1011" s="15"/>
      <c r="AT1011" s="15"/>
      <c r="AU1011" s="15"/>
      <c r="AV1011" s="15"/>
      <c r="AW1011" s="15"/>
      <c r="AX1011" s="15"/>
      <c r="AY1011" s="15"/>
      <c r="AZ1011" s="15"/>
      <c r="BA1011" s="15"/>
    </row>
    <row r="1012" spans="1:53" ht="14.25" x14ac:dyDescent="0.2">
      <c r="A1012" s="13"/>
      <c r="B1012" s="14"/>
      <c r="C1012" s="15"/>
      <c r="D1012" s="15"/>
      <c r="E1012" s="91"/>
      <c r="F1012" s="17"/>
      <c r="G1012" s="17"/>
      <c r="H1012" s="15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40"/>
      <c r="T1012" s="17"/>
      <c r="U1012" s="17"/>
      <c r="V1012" s="15"/>
      <c r="W1012" s="92"/>
      <c r="X1012" s="15"/>
      <c r="Y1012" s="15"/>
      <c r="Z1012" s="15"/>
      <c r="AA1012" s="15"/>
      <c r="AB1012" s="15"/>
      <c r="AC1012" s="15"/>
      <c r="AD1012" s="15"/>
      <c r="AE1012" s="15"/>
      <c r="AF1012" s="15"/>
      <c r="AG1012" s="15"/>
      <c r="AH1012" s="15"/>
      <c r="AI1012" s="15"/>
      <c r="AJ1012" s="15"/>
      <c r="AK1012" s="15"/>
      <c r="AL1012" s="15"/>
      <c r="AM1012" s="15"/>
      <c r="AN1012" s="15"/>
      <c r="AO1012" s="15"/>
      <c r="AP1012" s="15"/>
      <c r="AQ1012" s="15"/>
      <c r="AR1012" s="15"/>
      <c r="AS1012" s="15"/>
      <c r="AT1012" s="15"/>
      <c r="AU1012" s="15"/>
      <c r="AV1012" s="15"/>
      <c r="AW1012" s="15"/>
      <c r="AX1012" s="15"/>
      <c r="AY1012" s="15"/>
      <c r="AZ1012" s="15"/>
      <c r="BA1012" s="15"/>
    </row>
    <row r="1013" spans="1:53" ht="14.25" x14ac:dyDescent="0.2">
      <c r="A1013" s="13"/>
      <c r="B1013" s="14"/>
      <c r="C1013" s="15"/>
      <c r="D1013" s="15"/>
      <c r="E1013" s="91"/>
      <c r="F1013" s="17"/>
      <c r="G1013" s="17"/>
      <c r="H1013" s="15"/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  <c r="S1013" s="40"/>
      <c r="T1013" s="17"/>
      <c r="U1013" s="17"/>
      <c r="V1013" s="15"/>
      <c r="W1013" s="92"/>
      <c r="X1013" s="15"/>
      <c r="Y1013" s="15"/>
      <c r="Z1013" s="15"/>
      <c r="AA1013" s="15"/>
      <c r="AB1013" s="15"/>
      <c r="AC1013" s="15"/>
      <c r="AD1013" s="15"/>
      <c r="AE1013" s="15"/>
      <c r="AF1013" s="15"/>
      <c r="AG1013" s="15"/>
      <c r="AH1013" s="15"/>
      <c r="AI1013" s="15"/>
      <c r="AJ1013" s="15"/>
      <c r="AK1013" s="15"/>
      <c r="AL1013" s="15"/>
      <c r="AM1013" s="15"/>
      <c r="AN1013" s="15"/>
      <c r="AO1013" s="15"/>
      <c r="AP1013" s="15"/>
      <c r="AQ1013" s="15"/>
      <c r="AR1013" s="15"/>
      <c r="AS1013" s="15"/>
      <c r="AT1013" s="15"/>
      <c r="AU1013" s="15"/>
      <c r="AV1013" s="15"/>
      <c r="AW1013" s="15"/>
      <c r="AX1013" s="15"/>
      <c r="AY1013" s="15"/>
      <c r="AZ1013" s="15"/>
      <c r="BA1013" s="15"/>
    </row>
    <row r="1014" spans="1:53" ht="14.25" x14ac:dyDescent="0.2">
      <c r="A1014" s="13"/>
      <c r="B1014" s="14"/>
      <c r="C1014" s="15"/>
      <c r="D1014" s="15"/>
      <c r="E1014" s="91"/>
      <c r="F1014" s="17"/>
      <c r="G1014" s="17"/>
      <c r="H1014" s="15"/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40"/>
      <c r="T1014" s="17"/>
      <c r="U1014" s="17"/>
      <c r="V1014" s="15"/>
      <c r="W1014" s="92"/>
      <c r="X1014" s="15"/>
      <c r="Y1014" s="15"/>
      <c r="Z1014" s="15"/>
      <c r="AA1014" s="15"/>
      <c r="AB1014" s="15"/>
      <c r="AC1014" s="15"/>
      <c r="AD1014" s="15"/>
      <c r="AE1014" s="15"/>
      <c r="AF1014" s="15"/>
      <c r="AG1014" s="15"/>
      <c r="AH1014" s="15"/>
      <c r="AI1014" s="15"/>
      <c r="AJ1014" s="15"/>
      <c r="AK1014" s="15"/>
      <c r="AL1014" s="15"/>
      <c r="AM1014" s="15"/>
      <c r="AN1014" s="15"/>
      <c r="AO1014" s="15"/>
      <c r="AP1014" s="15"/>
      <c r="AQ1014" s="15"/>
      <c r="AR1014" s="15"/>
      <c r="AS1014" s="15"/>
      <c r="AT1014" s="15"/>
      <c r="AU1014" s="15"/>
      <c r="AV1014" s="15"/>
      <c r="AW1014" s="15"/>
      <c r="AX1014" s="15"/>
      <c r="AY1014" s="15"/>
      <c r="AZ1014" s="15"/>
      <c r="BA1014" s="15"/>
    </row>
    <row r="1015" spans="1:53" ht="14.25" x14ac:dyDescent="0.2">
      <c r="A1015" s="13"/>
      <c r="B1015" s="14"/>
      <c r="C1015" s="15"/>
      <c r="D1015" s="15"/>
      <c r="E1015" s="91"/>
      <c r="F1015" s="17"/>
      <c r="G1015" s="17"/>
      <c r="H1015" s="15"/>
      <c r="I1015" s="17"/>
      <c r="J1015" s="17"/>
      <c r="K1015" s="17"/>
      <c r="L1015" s="17"/>
      <c r="M1015" s="17"/>
      <c r="N1015" s="17"/>
      <c r="O1015" s="17"/>
      <c r="P1015" s="17"/>
      <c r="Q1015" s="17"/>
      <c r="R1015" s="17"/>
      <c r="S1015" s="40"/>
      <c r="T1015" s="17"/>
      <c r="U1015" s="17"/>
      <c r="V1015" s="15"/>
      <c r="W1015" s="92"/>
      <c r="X1015" s="15"/>
      <c r="Y1015" s="15"/>
      <c r="Z1015" s="15"/>
      <c r="AA1015" s="15"/>
      <c r="AB1015" s="15"/>
      <c r="AC1015" s="15"/>
      <c r="AD1015" s="15"/>
      <c r="AE1015" s="15"/>
      <c r="AF1015" s="15"/>
      <c r="AG1015" s="15"/>
      <c r="AH1015" s="15"/>
      <c r="AI1015" s="15"/>
      <c r="AJ1015" s="15"/>
      <c r="AK1015" s="15"/>
      <c r="AL1015" s="15"/>
      <c r="AM1015" s="15"/>
      <c r="AN1015" s="15"/>
      <c r="AO1015" s="15"/>
      <c r="AP1015" s="15"/>
      <c r="AQ1015" s="15"/>
      <c r="AR1015" s="15"/>
      <c r="AS1015" s="15"/>
      <c r="AT1015" s="15"/>
      <c r="AU1015" s="15"/>
      <c r="AV1015" s="15"/>
      <c r="AW1015" s="15"/>
      <c r="AX1015" s="15"/>
      <c r="AY1015" s="15"/>
      <c r="AZ1015" s="15"/>
      <c r="BA1015" s="15"/>
    </row>
    <row r="1016" spans="1:53" ht="14.25" x14ac:dyDescent="0.2">
      <c r="A1016" s="13"/>
      <c r="B1016" s="14"/>
      <c r="C1016" s="15"/>
      <c r="D1016" s="15"/>
      <c r="E1016" s="91"/>
      <c r="F1016" s="17"/>
      <c r="G1016" s="17"/>
      <c r="H1016" s="15"/>
      <c r="I1016" s="17"/>
      <c r="J1016" s="17"/>
      <c r="K1016" s="17"/>
      <c r="L1016" s="17"/>
      <c r="M1016" s="17"/>
      <c r="N1016" s="17"/>
      <c r="O1016" s="17"/>
      <c r="P1016" s="17"/>
      <c r="Q1016" s="17"/>
      <c r="R1016" s="17"/>
      <c r="S1016" s="40"/>
      <c r="T1016" s="17"/>
      <c r="U1016" s="17"/>
      <c r="V1016" s="15"/>
      <c r="W1016" s="92"/>
      <c r="X1016" s="15"/>
      <c r="Y1016" s="15"/>
      <c r="Z1016" s="15"/>
      <c r="AA1016" s="15"/>
      <c r="AB1016" s="15"/>
      <c r="AC1016" s="15"/>
      <c r="AD1016" s="15"/>
      <c r="AE1016" s="15"/>
      <c r="AF1016" s="15"/>
      <c r="AG1016" s="15"/>
      <c r="AH1016" s="15"/>
      <c r="AI1016" s="15"/>
      <c r="AJ1016" s="15"/>
      <c r="AK1016" s="15"/>
      <c r="AL1016" s="15"/>
      <c r="AM1016" s="15"/>
      <c r="AN1016" s="15"/>
      <c r="AO1016" s="15"/>
      <c r="AP1016" s="15"/>
      <c r="AQ1016" s="15"/>
      <c r="AR1016" s="15"/>
      <c r="AS1016" s="15"/>
      <c r="AT1016" s="15"/>
      <c r="AU1016" s="15"/>
      <c r="AV1016" s="15"/>
      <c r="AW1016" s="15"/>
      <c r="AX1016" s="15"/>
      <c r="AY1016" s="15"/>
      <c r="AZ1016" s="15"/>
      <c r="BA1016" s="15"/>
    </row>
    <row r="1017" spans="1:53" ht="14.25" x14ac:dyDescent="0.2">
      <c r="A1017" s="13"/>
      <c r="B1017" s="14"/>
      <c r="C1017" s="15"/>
      <c r="D1017" s="15"/>
      <c r="E1017" s="91"/>
      <c r="F1017" s="17"/>
      <c r="G1017" s="17"/>
      <c r="H1017" s="15"/>
      <c r="I1017" s="17"/>
      <c r="J1017" s="17"/>
      <c r="K1017" s="17"/>
      <c r="L1017" s="17"/>
      <c r="M1017" s="17"/>
      <c r="N1017" s="17"/>
      <c r="O1017" s="17"/>
      <c r="P1017" s="17"/>
      <c r="Q1017" s="17"/>
      <c r="R1017" s="17"/>
      <c r="S1017" s="40"/>
      <c r="T1017" s="17"/>
      <c r="U1017" s="17"/>
      <c r="V1017" s="15"/>
      <c r="W1017" s="92"/>
      <c r="X1017" s="15"/>
      <c r="Y1017" s="15"/>
      <c r="Z1017" s="15"/>
      <c r="AA1017" s="15"/>
      <c r="AB1017" s="15"/>
      <c r="AC1017" s="15"/>
      <c r="AD1017" s="15"/>
      <c r="AE1017" s="15"/>
      <c r="AF1017" s="15"/>
      <c r="AG1017" s="15"/>
      <c r="AH1017" s="15"/>
      <c r="AI1017" s="15"/>
      <c r="AJ1017" s="15"/>
      <c r="AK1017" s="15"/>
      <c r="AL1017" s="15"/>
      <c r="AM1017" s="15"/>
      <c r="AN1017" s="15"/>
      <c r="AO1017" s="15"/>
      <c r="AP1017" s="15"/>
      <c r="AQ1017" s="15"/>
      <c r="AR1017" s="15"/>
      <c r="AS1017" s="15"/>
      <c r="AT1017" s="15"/>
      <c r="AU1017" s="15"/>
      <c r="AV1017" s="15"/>
      <c r="AW1017" s="15"/>
      <c r="AX1017" s="15"/>
      <c r="AY1017" s="15"/>
      <c r="AZ1017" s="15"/>
      <c r="BA1017" s="15"/>
    </row>
    <row r="1018" spans="1:53" ht="14.25" x14ac:dyDescent="0.2">
      <c r="A1018" s="13"/>
      <c r="B1018" s="14"/>
      <c r="C1018" s="15"/>
      <c r="D1018" s="15"/>
      <c r="E1018" s="91"/>
      <c r="F1018" s="17"/>
      <c r="G1018" s="17"/>
      <c r="H1018" s="15"/>
      <c r="I1018" s="17"/>
      <c r="J1018" s="17"/>
      <c r="K1018" s="17"/>
      <c r="L1018" s="17"/>
      <c r="M1018" s="17"/>
      <c r="N1018" s="17"/>
      <c r="O1018" s="17"/>
      <c r="P1018" s="17"/>
      <c r="Q1018" s="17"/>
      <c r="R1018" s="17"/>
      <c r="S1018" s="40"/>
      <c r="T1018" s="17"/>
      <c r="U1018" s="17"/>
      <c r="V1018" s="15"/>
      <c r="W1018" s="92"/>
      <c r="X1018" s="15"/>
      <c r="Y1018" s="15"/>
      <c r="Z1018" s="15"/>
      <c r="AA1018" s="15"/>
      <c r="AB1018" s="15"/>
      <c r="AC1018" s="15"/>
      <c r="AD1018" s="15"/>
      <c r="AE1018" s="15"/>
      <c r="AF1018" s="15"/>
      <c r="AG1018" s="15"/>
      <c r="AH1018" s="15"/>
      <c r="AI1018" s="15"/>
      <c r="AJ1018" s="15"/>
      <c r="AK1018" s="15"/>
      <c r="AL1018" s="15"/>
      <c r="AM1018" s="15"/>
      <c r="AN1018" s="15"/>
      <c r="AO1018" s="15"/>
      <c r="AP1018" s="15"/>
      <c r="AQ1018" s="15"/>
      <c r="AR1018" s="15"/>
      <c r="AS1018" s="15"/>
      <c r="AT1018" s="15"/>
      <c r="AU1018" s="15"/>
      <c r="AV1018" s="15"/>
      <c r="AW1018" s="15"/>
      <c r="AX1018" s="15"/>
      <c r="AY1018" s="15"/>
      <c r="AZ1018" s="15"/>
      <c r="BA1018" s="15"/>
    </row>
    <row r="1019" spans="1:53" ht="14.25" x14ac:dyDescent="0.2">
      <c r="A1019" s="13"/>
      <c r="B1019" s="14"/>
      <c r="C1019" s="15"/>
      <c r="D1019" s="15"/>
      <c r="E1019" s="91"/>
      <c r="F1019" s="17"/>
      <c r="G1019" s="17"/>
      <c r="H1019" s="15"/>
      <c r="I1019" s="17"/>
      <c r="J1019" s="17"/>
      <c r="K1019" s="17"/>
      <c r="L1019" s="17"/>
      <c r="M1019" s="17"/>
      <c r="N1019" s="17"/>
      <c r="O1019" s="17"/>
      <c r="P1019" s="17"/>
      <c r="Q1019" s="17"/>
      <c r="R1019" s="17"/>
      <c r="S1019" s="40"/>
      <c r="T1019" s="17"/>
      <c r="U1019" s="17"/>
      <c r="V1019" s="15"/>
      <c r="W1019" s="92"/>
      <c r="X1019" s="15"/>
      <c r="Y1019" s="15"/>
      <c r="Z1019" s="15"/>
      <c r="AA1019" s="15"/>
      <c r="AB1019" s="15"/>
      <c r="AC1019" s="15"/>
      <c r="AD1019" s="15"/>
      <c r="AE1019" s="15"/>
      <c r="AF1019" s="15"/>
      <c r="AG1019" s="15"/>
      <c r="AH1019" s="15"/>
      <c r="AI1019" s="15"/>
      <c r="AJ1019" s="15"/>
      <c r="AK1019" s="15"/>
      <c r="AL1019" s="15"/>
      <c r="AM1019" s="15"/>
      <c r="AN1019" s="15"/>
      <c r="AO1019" s="15"/>
      <c r="AP1019" s="15"/>
      <c r="AQ1019" s="15"/>
      <c r="AR1019" s="15"/>
      <c r="AS1019" s="15"/>
      <c r="AT1019" s="15"/>
      <c r="AU1019" s="15"/>
      <c r="AV1019" s="15"/>
      <c r="AW1019" s="15"/>
      <c r="AX1019" s="15"/>
      <c r="AY1019" s="15"/>
      <c r="AZ1019" s="15"/>
      <c r="BA1019" s="15"/>
    </row>
    <row r="1020" spans="1:53" ht="14.25" x14ac:dyDescent="0.2">
      <c r="A1020" s="13"/>
      <c r="B1020" s="14"/>
      <c r="C1020" s="15"/>
      <c r="D1020" s="15"/>
      <c r="E1020" s="91"/>
      <c r="F1020" s="17"/>
      <c r="G1020" s="17"/>
      <c r="H1020" s="15"/>
      <c r="I1020" s="17"/>
      <c r="J1020" s="17"/>
      <c r="K1020" s="17"/>
      <c r="L1020" s="17"/>
      <c r="M1020" s="17"/>
      <c r="N1020" s="17"/>
      <c r="O1020" s="17"/>
      <c r="P1020" s="17"/>
      <c r="Q1020" s="17"/>
      <c r="R1020" s="17"/>
      <c r="S1020" s="40"/>
      <c r="T1020" s="17"/>
      <c r="U1020" s="17"/>
      <c r="V1020" s="15"/>
      <c r="W1020" s="92"/>
      <c r="X1020" s="15"/>
      <c r="Y1020" s="15"/>
      <c r="Z1020" s="15"/>
      <c r="AA1020" s="15"/>
      <c r="AB1020" s="15"/>
      <c r="AC1020" s="15"/>
      <c r="AD1020" s="15"/>
      <c r="AE1020" s="15"/>
      <c r="AF1020" s="15"/>
      <c r="AG1020" s="15"/>
      <c r="AH1020" s="15"/>
      <c r="AI1020" s="15"/>
      <c r="AJ1020" s="15"/>
      <c r="AK1020" s="15"/>
      <c r="AL1020" s="15"/>
      <c r="AM1020" s="15"/>
      <c r="AN1020" s="15"/>
      <c r="AO1020" s="15"/>
      <c r="AP1020" s="15"/>
      <c r="AQ1020" s="15"/>
      <c r="AR1020" s="15"/>
      <c r="AS1020" s="15"/>
      <c r="AT1020" s="15"/>
      <c r="AU1020" s="15"/>
      <c r="AV1020" s="15"/>
      <c r="AW1020" s="15"/>
      <c r="AX1020" s="15"/>
      <c r="AY1020" s="15"/>
      <c r="AZ1020" s="15"/>
      <c r="BA1020" s="15"/>
    </row>
    <row r="1021" spans="1:53" ht="14.25" x14ac:dyDescent="0.2">
      <c r="A1021" s="13"/>
      <c r="B1021" s="14"/>
      <c r="C1021" s="15"/>
      <c r="D1021" s="15"/>
      <c r="E1021" s="91"/>
      <c r="F1021" s="17"/>
      <c r="G1021" s="17"/>
      <c r="H1021" s="15"/>
      <c r="I1021" s="17"/>
      <c r="J1021" s="17"/>
      <c r="K1021" s="17"/>
      <c r="L1021" s="17"/>
      <c r="M1021" s="17"/>
      <c r="N1021" s="17"/>
      <c r="O1021" s="17"/>
      <c r="P1021" s="17"/>
      <c r="Q1021" s="17"/>
      <c r="R1021" s="17"/>
      <c r="S1021" s="40"/>
      <c r="T1021" s="17"/>
      <c r="U1021" s="17"/>
      <c r="V1021" s="15"/>
      <c r="W1021" s="92"/>
      <c r="X1021" s="15"/>
      <c r="Y1021" s="15"/>
      <c r="Z1021" s="15"/>
      <c r="AA1021" s="15"/>
      <c r="AB1021" s="15"/>
      <c r="AC1021" s="15"/>
      <c r="AD1021" s="15"/>
      <c r="AE1021" s="15"/>
      <c r="AF1021" s="15"/>
      <c r="AG1021" s="15"/>
      <c r="AH1021" s="15"/>
      <c r="AI1021" s="15"/>
      <c r="AJ1021" s="15"/>
      <c r="AK1021" s="15"/>
      <c r="AL1021" s="15"/>
      <c r="AM1021" s="15"/>
      <c r="AN1021" s="15"/>
      <c r="AO1021" s="15"/>
      <c r="AP1021" s="15"/>
      <c r="AQ1021" s="15"/>
      <c r="AR1021" s="15"/>
      <c r="AS1021" s="15"/>
      <c r="AT1021" s="15"/>
      <c r="AU1021" s="15"/>
      <c r="AV1021" s="15"/>
      <c r="AW1021" s="15"/>
      <c r="AX1021" s="15"/>
      <c r="AY1021" s="15"/>
      <c r="AZ1021" s="15"/>
      <c r="BA1021" s="15"/>
    </row>
    <row r="1022" spans="1:53" ht="14.25" x14ac:dyDescent="0.2">
      <c r="A1022" s="13"/>
      <c r="B1022" s="14"/>
      <c r="C1022" s="15"/>
      <c r="D1022" s="15"/>
      <c r="E1022" s="91"/>
      <c r="F1022" s="17"/>
      <c r="G1022" s="17"/>
      <c r="H1022" s="15"/>
      <c r="I1022" s="17"/>
      <c r="J1022" s="17"/>
      <c r="K1022" s="17"/>
      <c r="L1022" s="17"/>
      <c r="M1022" s="17"/>
      <c r="N1022" s="17"/>
      <c r="O1022" s="17"/>
      <c r="P1022" s="17"/>
      <c r="Q1022" s="17"/>
      <c r="R1022" s="17"/>
      <c r="S1022" s="40"/>
      <c r="T1022" s="17"/>
      <c r="U1022" s="17"/>
      <c r="V1022" s="15"/>
      <c r="W1022" s="92"/>
      <c r="X1022" s="15"/>
      <c r="Y1022" s="15"/>
      <c r="Z1022" s="15"/>
      <c r="AA1022" s="15"/>
      <c r="AB1022" s="15"/>
      <c r="AC1022" s="15"/>
      <c r="AD1022" s="15"/>
      <c r="AE1022" s="15"/>
      <c r="AF1022" s="15"/>
      <c r="AG1022" s="15"/>
      <c r="AH1022" s="15"/>
      <c r="AI1022" s="15"/>
      <c r="AJ1022" s="15"/>
      <c r="AK1022" s="15"/>
      <c r="AL1022" s="15"/>
      <c r="AM1022" s="15"/>
      <c r="AN1022" s="15"/>
      <c r="AO1022" s="15"/>
      <c r="AP1022" s="15"/>
      <c r="AQ1022" s="15"/>
      <c r="AR1022" s="15"/>
      <c r="AS1022" s="15"/>
      <c r="AT1022" s="15"/>
      <c r="AU1022" s="15"/>
      <c r="AV1022" s="15"/>
      <c r="AW1022" s="15"/>
      <c r="AX1022" s="15"/>
      <c r="AY1022" s="15"/>
      <c r="AZ1022" s="15"/>
      <c r="BA1022" s="15"/>
    </row>
    <row r="1023" spans="1:53" ht="14.25" x14ac:dyDescent="0.2">
      <c r="A1023" s="13"/>
      <c r="B1023" s="14"/>
      <c r="C1023" s="15"/>
      <c r="D1023" s="15"/>
      <c r="E1023" s="91"/>
      <c r="F1023" s="17"/>
      <c r="G1023" s="17"/>
      <c r="H1023" s="15"/>
      <c r="I1023" s="17"/>
      <c r="J1023" s="17"/>
      <c r="K1023" s="17"/>
      <c r="L1023" s="17"/>
      <c r="M1023" s="17"/>
      <c r="N1023" s="17"/>
      <c r="O1023" s="17"/>
      <c r="P1023" s="17"/>
      <c r="Q1023" s="17"/>
      <c r="R1023" s="17"/>
      <c r="S1023" s="40"/>
      <c r="T1023" s="17"/>
      <c r="U1023" s="17"/>
      <c r="V1023" s="15"/>
      <c r="W1023" s="92"/>
      <c r="X1023" s="15"/>
      <c r="Y1023" s="15"/>
      <c r="Z1023" s="15"/>
      <c r="AA1023" s="15"/>
      <c r="AB1023" s="15"/>
      <c r="AC1023" s="15"/>
      <c r="AD1023" s="15"/>
      <c r="AE1023" s="15"/>
      <c r="AF1023" s="15"/>
      <c r="AG1023" s="15"/>
      <c r="AH1023" s="15"/>
      <c r="AI1023" s="15"/>
      <c r="AJ1023" s="15"/>
      <c r="AK1023" s="15"/>
      <c r="AL1023" s="15"/>
      <c r="AM1023" s="15"/>
      <c r="AN1023" s="15"/>
      <c r="AO1023" s="15"/>
      <c r="AP1023" s="15"/>
      <c r="AQ1023" s="15"/>
      <c r="AR1023" s="15"/>
      <c r="AS1023" s="15"/>
      <c r="AT1023" s="15"/>
      <c r="AU1023" s="15"/>
      <c r="AV1023" s="15"/>
      <c r="AW1023" s="15"/>
      <c r="AX1023" s="15"/>
      <c r="AY1023" s="15"/>
      <c r="AZ1023" s="15"/>
      <c r="BA1023" s="15"/>
    </row>
    <row r="1024" spans="1:53" ht="14.25" x14ac:dyDescent="0.2">
      <c r="A1024" s="13"/>
      <c r="B1024" s="14"/>
      <c r="C1024" s="15"/>
      <c r="D1024" s="15"/>
      <c r="E1024" s="91"/>
      <c r="F1024" s="17"/>
      <c r="G1024" s="17"/>
      <c r="H1024" s="15"/>
      <c r="I1024" s="17"/>
      <c r="J1024" s="17"/>
      <c r="K1024" s="17"/>
      <c r="L1024" s="17"/>
      <c r="M1024" s="17"/>
      <c r="N1024" s="17"/>
      <c r="O1024" s="17"/>
      <c r="P1024" s="17"/>
      <c r="Q1024" s="17"/>
      <c r="R1024" s="17"/>
      <c r="S1024" s="40"/>
      <c r="T1024" s="17"/>
      <c r="U1024" s="17"/>
      <c r="V1024" s="15"/>
      <c r="W1024" s="92"/>
      <c r="X1024" s="15"/>
      <c r="Y1024" s="15"/>
      <c r="Z1024" s="15"/>
      <c r="AA1024" s="15"/>
      <c r="AB1024" s="15"/>
      <c r="AC1024" s="15"/>
      <c r="AD1024" s="15"/>
      <c r="AE1024" s="15"/>
      <c r="AF1024" s="15"/>
      <c r="AG1024" s="15"/>
      <c r="AH1024" s="15"/>
      <c r="AI1024" s="15"/>
      <c r="AJ1024" s="15"/>
      <c r="AK1024" s="15"/>
      <c r="AL1024" s="15"/>
      <c r="AM1024" s="15"/>
      <c r="AN1024" s="15"/>
      <c r="AO1024" s="15"/>
      <c r="AP1024" s="15"/>
      <c r="AQ1024" s="15"/>
      <c r="AR1024" s="15"/>
      <c r="AS1024" s="15"/>
      <c r="AT1024" s="15"/>
      <c r="AU1024" s="15"/>
      <c r="AV1024" s="15"/>
      <c r="AW1024" s="15"/>
      <c r="AX1024" s="15"/>
      <c r="AY1024" s="15"/>
      <c r="AZ1024" s="15"/>
      <c r="BA1024" s="15"/>
    </row>
    <row r="1025" spans="1:53" ht="14.25" x14ac:dyDescent="0.2">
      <c r="A1025" s="13"/>
      <c r="B1025" s="14"/>
      <c r="C1025" s="15"/>
      <c r="D1025" s="15"/>
      <c r="E1025" s="91"/>
      <c r="F1025" s="17"/>
      <c r="G1025" s="17"/>
      <c r="H1025" s="15"/>
      <c r="I1025" s="17"/>
      <c r="J1025" s="17"/>
      <c r="K1025" s="17"/>
      <c r="L1025" s="17"/>
      <c r="M1025" s="17"/>
      <c r="N1025" s="17"/>
      <c r="O1025" s="17"/>
      <c r="P1025" s="17"/>
      <c r="Q1025" s="17"/>
      <c r="R1025" s="17"/>
      <c r="S1025" s="40"/>
      <c r="T1025" s="17"/>
      <c r="U1025" s="17"/>
      <c r="V1025" s="15"/>
      <c r="W1025" s="92"/>
      <c r="X1025" s="15"/>
      <c r="Y1025" s="15"/>
      <c r="Z1025" s="15"/>
      <c r="AA1025" s="15"/>
      <c r="AB1025" s="15"/>
      <c r="AC1025" s="15"/>
      <c r="AD1025" s="15"/>
      <c r="AE1025" s="15"/>
      <c r="AF1025" s="15"/>
      <c r="AG1025" s="15"/>
      <c r="AH1025" s="15"/>
      <c r="AI1025" s="15"/>
      <c r="AJ1025" s="15"/>
      <c r="AK1025" s="15"/>
      <c r="AL1025" s="15"/>
      <c r="AM1025" s="15"/>
      <c r="AN1025" s="15"/>
      <c r="AO1025" s="15"/>
      <c r="AP1025" s="15"/>
      <c r="AQ1025" s="15"/>
      <c r="AR1025" s="15"/>
      <c r="AS1025" s="15"/>
      <c r="AT1025" s="15"/>
      <c r="AU1025" s="15"/>
      <c r="AV1025" s="15"/>
      <c r="AW1025" s="15"/>
      <c r="AX1025" s="15"/>
      <c r="AY1025" s="15"/>
      <c r="AZ1025" s="15"/>
      <c r="BA1025" s="15"/>
    </row>
    <row r="1026" spans="1:53" ht="14.25" x14ac:dyDescent="0.2">
      <c r="A1026" s="13"/>
      <c r="B1026" s="14"/>
      <c r="C1026" s="15"/>
      <c r="D1026" s="15"/>
      <c r="E1026" s="91"/>
      <c r="F1026" s="17"/>
      <c r="G1026" s="17"/>
      <c r="H1026" s="15"/>
      <c r="I1026" s="17"/>
      <c r="J1026" s="17"/>
      <c r="K1026" s="17"/>
      <c r="L1026" s="17"/>
      <c r="M1026" s="17"/>
      <c r="N1026" s="17"/>
      <c r="O1026" s="17"/>
      <c r="P1026" s="17"/>
      <c r="Q1026" s="17"/>
      <c r="R1026" s="17"/>
      <c r="S1026" s="40"/>
      <c r="T1026" s="17"/>
      <c r="U1026" s="17"/>
      <c r="V1026" s="15"/>
      <c r="W1026" s="92"/>
      <c r="X1026" s="15"/>
      <c r="Y1026" s="15"/>
      <c r="Z1026" s="15"/>
      <c r="AA1026" s="15"/>
      <c r="AB1026" s="15"/>
      <c r="AC1026" s="15"/>
      <c r="AD1026" s="15"/>
      <c r="AE1026" s="15"/>
      <c r="AF1026" s="15"/>
      <c r="AG1026" s="15"/>
      <c r="AH1026" s="15"/>
      <c r="AI1026" s="15"/>
      <c r="AJ1026" s="15"/>
      <c r="AK1026" s="15"/>
      <c r="AL1026" s="15"/>
      <c r="AM1026" s="15"/>
      <c r="AN1026" s="15"/>
      <c r="AO1026" s="15"/>
      <c r="AP1026" s="15"/>
      <c r="AQ1026" s="15"/>
      <c r="AR1026" s="15"/>
      <c r="AS1026" s="15"/>
      <c r="AT1026" s="15"/>
      <c r="AU1026" s="15"/>
      <c r="AV1026" s="15"/>
      <c r="AW1026" s="15"/>
      <c r="AX1026" s="15"/>
      <c r="AY1026" s="15"/>
      <c r="AZ1026" s="15"/>
      <c r="BA1026" s="15"/>
    </row>
    <row r="1027" spans="1:53" ht="14.25" x14ac:dyDescent="0.2">
      <c r="A1027" s="13"/>
      <c r="B1027" s="14"/>
      <c r="C1027" s="15"/>
      <c r="D1027" s="15"/>
      <c r="E1027" s="91"/>
      <c r="F1027" s="17"/>
      <c r="G1027" s="17"/>
      <c r="H1027" s="15"/>
      <c r="I1027" s="17"/>
      <c r="J1027" s="17"/>
      <c r="K1027" s="17"/>
      <c r="L1027" s="17"/>
      <c r="M1027" s="17"/>
      <c r="N1027" s="17"/>
      <c r="O1027" s="17"/>
      <c r="P1027" s="17"/>
      <c r="Q1027" s="17"/>
      <c r="R1027" s="17"/>
      <c r="S1027" s="40"/>
      <c r="T1027" s="17"/>
      <c r="U1027" s="17"/>
      <c r="V1027" s="15"/>
      <c r="W1027" s="92"/>
      <c r="X1027" s="15"/>
      <c r="Y1027" s="15"/>
      <c r="Z1027" s="15"/>
      <c r="AA1027" s="15"/>
      <c r="AB1027" s="15"/>
      <c r="AC1027" s="15"/>
      <c r="AD1027" s="15"/>
      <c r="AE1027" s="15"/>
      <c r="AF1027" s="15"/>
      <c r="AG1027" s="15"/>
      <c r="AH1027" s="15"/>
      <c r="AI1027" s="15"/>
      <c r="AJ1027" s="15"/>
      <c r="AK1027" s="15"/>
      <c r="AL1027" s="15"/>
      <c r="AM1027" s="15"/>
      <c r="AN1027" s="15"/>
      <c r="AO1027" s="15"/>
      <c r="AP1027" s="15"/>
      <c r="AQ1027" s="15"/>
      <c r="AR1027" s="15"/>
      <c r="AS1027" s="15"/>
      <c r="AT1027" s="15"/>
      <c r="AU1027" s="15"/>
      <c r="AV1027" s="15"/>
      <c r="AW1027" s="15"/>
      <c r="AX1027" s="15"/>
      <c r="AY1027" s="15"/>
      <c r="AZ1027" s="15"/>
      <c r="BA1027" s="15"/>
    </row>
    <row r="1028" spans="1:53" ht="14.25" x14ac:dyDescent="0.2">
      <c r="A1028" s="13"/>
      <c r="B1028" s="14"/>
      <c r="C1028" s="15"/>
      <c r="D1028" s="15"/>
      <c r="E1028" s="91"/>
      <c r="F1028" s="17"/>
      <c r="G1028" s="17"/>
      <c r="H1028" s="15"/>
      <c r="I1028" s="17"/>
      <c r="J1028" s="17"/>
      <c r="K1028" s="17"/>
      <c r="L1028" s="17"/>
      <c r="M1028" s="17"/>
      <c r="N1028" s="17"/>
      <c r="O1028" s="17"/>
      <c r="P1028" s="17"/>
      <c r="Q1028" s="17"/>
      <c r="R1028" s="17"/>
      <c r="S1028" s="40"/>
      <c r="T1028" s="17"/>
      <c r="U1028" s="17"/>
      <c r="V1028" s="15"/>
      <c r="W1028" s="92"/>
      <c r="X1028" s="15"/>
      <c r="Y1028" s="15"/>
      <c r="Z1028" s="15"/>
      <c r="AA1028" s="15"/>
      <c r="AB1028" s="15"/>
      <c r="AC1028" s="15"/>
      <c r="AD1028" s="15"/>
      <c r="AE1028" s="15"/>
      <c r="AF1028" s="15"/>
      <c r="AG1028" s="15"/>
      <c r="AH1028" s="15"/>
      <c r="AI1028" s="15"/>
      <c r="AJ1028" s="15"/>
      <c r="AK1028" s="15"/>
      <c r="AL1028" s="15"/>
      <c r="AM1028" s="15"/>
      <c r="AN1028" s="15"/>
      <c r="AO1028" s="15"/>
      <c r="AP1028" s="15"/>
      <c r="AQ1028" s="15"/>
      <c r="AR1028" s="15"/>
      <c r="AS1028" s="15"/>
      <c r="AT1028" s="15"/>
      <c r="AU1028" s="15"/>
      <c r="AV1028" s="15"/>
      <c r="AW1028" s="15"/>
      <c r="AX1028" s="15"/>
      <c r="AY1028" s="15"/>
      <c r="AZ1028" s="15"/>
      <c r="BA1028" s="15"/>
    </row>
  </sheetData>
  <autoFilter ref="A1:AE49" xr:uid="{00000000-0009-0000-0000-000000000000}"/>
  <customSheetViews>
    <customSheetView guid="{63CA747D-4D14-4EF9-8CA6-F9BD651ECE3F}" filter="1" showAutoFilter="1">
      <pageMargins left="0.7" right="0.7" top="0.75" bottom="0.75" header="0.3" footer="0.3"/>
      <autoFilter ref="A1:AE49" xr:uid="{8E5787B7-069D-4E10-B04C-1352021085E6}">
        <filterColumn colId="18">
          <customFilters>
            <customFilter operator="greaterThanOrEqual" val="55"/>
          </customFilters>
        </filterColumn>
      </autoFilter>
    </customSheetView>
  </customSheetViews>
  <conditionalFormatting sqref="B1:B1028">
    <cfRule type="colorScale" priority="4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E1:E58 F58:G58 E60:E1028">
    <cfRule type="colorScale" priority="9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E1:E1028">
    <cfRule type="containsText" dxfId="0" priority="14" operator="containsText" text="n/a">
      <formula>NOT(ISERROR(SEARCH(("n/a"),(E1))))</formula>
    </cfRule>
  </conditionalFormatting>
  <conditionalFormatting sqref="F1:G57 Z1:Z1028 F59:G1028">
    <cfRule type="colorScale" priority="7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H1:I1028">
    <cfRule type="colorScale" priority="2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J1:J1028">
    <cfRule type="colorScale" priority="6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K1:M1028">
    <cfRule type="colorScale" priority="3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N1:N1028">
    <cfRule type="colorScale" priority="5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O1:P1028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S1:S1028">
    <cfRule type="colorScale" priority="11">
      <colorScale>
        <cfvo type="min"/>
        <cfvo type="percentile" val="50"/>
        <cfvo type="max"/>
        <color rgb="FFED936F"/>
        <color rgb="FFFFD666"/>
        <color rgb="FF57BB8A"/>
      </colorScale>
    </cfRule>
  </conditionalFormatting>
  <conditionalFormatting sqref="T1:T1028">
    <cfRule type="colorScale" priority="12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U1:U1028">
    <cfRule type="colorScale" priority="13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V1:X1028">
    <cfRule type="colorScale" priority="8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Y1:Y1028">
    <cfRule type="colorScale" priority="10">
      <colorScale>
        <cfvo type="min"/>
        <cfvo type="percentile" val="50"/>
        <cfvo type="max"/>
        <color rgb="FFE67C73"/>
        <color rgb="FFFFD666"/>
        <color rgb="FF57BB8A"/>
      </colorScale>
    </cfRule>
  </conditionalFormatting>
  <hyperlinks>
    <hyperlink ref="AE2" r:id="rId1" xr:uid="{00000000-0004-0000-0000-000000000000}"/>
    <hyperlink ref="AE3" r:id="rId2" xr:uid="{00000000-0004-0000-0000-000001000000}"/>
    <hyperlink ref="AE4" r:id="rId3" xr:uid="{00000000-0004-0000-0000-000002000000}"/>
    <hyperlink ref="AE5" r:id="rId4" xr:uid="{00000000-0004-0000-0000-000003000000}"/>
    <hyperlink ref="AE6" r:id="rId5" xr:uid="{00000000-0004-0000-0000-000004000000}"/>
    <hyperlink ref="AE7" r:id="rId6" xr:uid="{00000000-0004-0000-0000-000005000000}"/>
    <hyperlink ref="AE8" r:id="rId7" xr:uid="{00000000-0004-0000-0000-000006000000}"/>
    <hyperlink ref="AA9" r:id="rId8" location="!product/1-B09PZM76MG" xr:uid="{00000000-0004-0000-0000-000007000000}"/>
    <hyperlink ref="AE9" r:id="rId9" location="!product/1-B09PZM76MG" xr:uid="{00000000-0004-0000-0000-000008000000}"/>
    <hyperlink ref="AE10" r:id="rId10" xr:uid="{00000000-0004-0000-0000-000009000000}"/>
    <hyperlink ref="AE11" r:id="rId11" location="!product/1-B08NXYBVDB" xr:uid="{00000000-0004-0000-0000-00000A000000}"/>
    <hyperlink ref="AE12" r:id="rId12" xr:uid="{00000000-0004-0000-0000-00000B000000}"/>
    <hyperlink ref="AE13" r:id="rId13" location="!product/1-B08V1WK4LB" xr:uid="{00000000-0004-0000-0000-00000C000000}"/>
    <hyperlink ref="AE14" r:id="rId14" xr:uid="{00000000-0004-0000-0000-00000D000000}"/>
    <hyperlink ref="AE15" r:id="rId15" xr:uid="{00000000-0004-0000-0000-00000E000000}"/>
    <hyperlink ref="AE16" r:id="rId16" xr:uid="{00000000-0004-0000-0000-00000F000000}"/>
    <hyperlink ref="AE17" r:id="rId17" xr:uid="{00000000-0004-0000-0000-000010000000}"/>
    <hyperlink ref="AE18" r:id="rId18" xr:uid="{00000000-0004-0000-0000-000011000000}"/>
    <hyperlink ref="AE19" r:id="rId19" location="!product/1-B09YHXFD19" xr:uid="{00000000-0004-0000-0000-000012000000}"/>
    <hyperlink ref="AE20" r:id="rId20" xr:uid="{00000000-0004-0000-0000-000013000000}"/>
    <hyperlink ref="AE22" r:id="rId21" xr:uid="{00000000-0004-0000-0000-000014000000}"/>
    <hyperlink ref="AE23" r:id="rId22" location="!product/1-B0BMWG9N16" xr:uid="{00000000-0004-0000-0000-000015000000}"/>
    <hyperlink ref="AE24" r:id="rId23" xr:uid="{00000000-0004-0000-0000-000016000000}"/>
    <hyperlink ref="AE25" r:id="rId24" xr:uid="{00000000-0004-0000-0000-000017000000}"/>
    <hyperlink ref="AE26" r:id="rId25" xr:uid="{00000000-0004-0000-0000-000018000000}"/>
    <hyperlink ref="AE27" r:id="rId26" xr:uid="{00000000-0004-0000-0000-000019000000}"/>
    <hyperlink ref="AE28" r:id="rId27" xr:uid="{00000000-0004-0000-0000-00001A000000}"/>
    <hyperlink ref="AE29" r:id="rId28" location="!product/1-B0BNWBJ8Z6" xr:uid="{00000000-0004-0000-0000-00001B000000}"/>
    <hyperlink ref="AE30" r:id="rId29" xr:uid="{00000000-0004-0000-0000-00001C000000}"/>
    <hyperlink ref="AE31" r:id="rId30" xr:uid="{00000000-0004-0000-0000-00001D000000}"/>
    <hyperlink ref="AE32" r:id="rId31" location="!product/1-B09WH4XGDM" xr:uid="{00000000-0004-0000-0000-00001E000000}"/>
    <hyperlink ref="AE33" r:id="rId32" xr:uid="{00000000-0004-0000-0000-00001F000000}"/>
    <hyperlink ref="AE34" r:id="rId33" xr:uid="{00000000-0004-0000-0000-000020000000}"/>
    <hyperlink ref="AE35" r:id="rId34" location="!product/1-B0BKK3RFT6" xr:uid="{00000000-0004-0000-0000-000021000000}"/>
    <hyperlink ref="AE36" r:id="rId35" location="!product/1-B0BGP8FGNZ" xr:uid="{00000000-0004-0000-0000-000022000000}"/>
    <hyperlink ref="AE37" r:id="rId36" xr:uid="{00000000-0004-0000-0000-000023000000}"/>
    <hyperlink ref="AE38" r:id="rId37" xr:uid="{00000000-0004-0000-0000-000024000000}"/>
    <hyperlink ref="AE39" r:id="rId38" xr:uid="{00000000-0004-0000-0000-000025000000}"/>
    <hyperlink ref="AE40" r:id="rId39" xr:uid="{00000000-0004-0000-0000-000026000000}"/>
    <hyperlink ref="AE41" r:id="rId40" xr:uid="{00000000-0004-0000-0000-000027000000}"/>
    <hyperlink ref="AE42" r:id="rId41" xr:uid="{00000000-0004-0000-0000-000028000000}"/>
    <hyperlink ref="AE43" r:id="rId42" xr:uid="{00000000-0004-0000-0000-000029000000}"/>
    <hyperlink ref="AE44" r:id="rId43" xr:uid="{00000000-0004-0000-0000-00002A000000}"/>
    <hyperlink ref="AE45" r:id="rId44" xr:uid="{00000000-0004-0000-0000-00002B000000}"/>
    <hyperlink ref="AE46" r:id="rId45" xr:uid="{00000000-0004-0000-0000-00002C000000}"/>
    <hyperlink ref="AE47" r:id="rId46" xr:uid="{00000000-0004-0000-0000-00002D000000}"/>
    <hyperlink ref="G59" r:id="rId47" xr:uid="{00000000-0004-0000-0000-00002E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Jakub Pentoś</cp:lastModifiedBy>
  <dcterms:modified xsi:type="dcterms:W3CDTF">2025-08-11T11:05:43Z</dcterms:modified>
</cp:coreProperties>
</file>